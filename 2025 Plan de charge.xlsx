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workbookPassword="C78A" lockStructure="1"/>
  <bookViews>
    <workbookView visibility="visible" minimized="0" showHorizontalScroll="1" showVerticalScroll="1" showSheetTabs="1" xWindow="-110" yWindow="-110" windowWidth="19420" windowHeight="10300" tabRatio="365" firstSheet="0" activeTab="0" autoFilterDateGrouping="1"/>
  </bookViews>
  <sheets>
    <sheet name="Accueil CODIR" sheetId="1" state="visible" r:id="rId1"/>
    <sheet name="Guide" sheetId="2" state="visible" r:id="rId2"/>
    <sheet name="Affaires" sheetId="3" state="visible" r:id="rId3"/>
    <sheet name="Analyse" sheetId="4" state="visible" r:id="rId4"/>
    <sheet name="Récapitulatif" sheetId="5" state="visible" r:id="rId5"/>
    <sheet name="Listes" sheetId="6" state="hidden" r:id="rId6"/>
  </sheets>
  <definedNames>
    <definedName name="lstCatAff">Listes!$B$2:$B$6</definedName>
    <definedName name="lstCatOuv">Listes!$C$2:$C$7</definedName>
    <definedName name="lstStatut">Listes!$A$2:$A$3</definedName>
    <definedName name="lstTypeAdj">Listes!$D$2:$D$6</definedName>
    <definedName name="_xlnm.Print_Area" localSheetId="0">'Accueil CODIR'!$A$1:$L$38</definedName>
    <definedName name="_xlnm.Print_Area" localSheetId="2">'Affaires'!$A$1:$S$25</definedName>
    <definedName name="_xlnm.Print_Area" localSheetId="3">'Analyse'!$A$1:$N$60</definedName>
    <definedName name="_xlnm._FilterDatabase" localSheetId="4" hidden="1">'Récapitulatif'!$A$3:$BC$204</definedName>
    <definedName name="_xlnm.Print_Area" localSheetId="4">'Récapitulatif'!$A$1:$O$203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0_-;\-* #,##0.00_-;_-* &quot;-&quot;??_-;_-@_-"/>
    <numFmt numFmtId="165" formatCode="0.0%"/>
    <numFmt numFmtId="166" formatCode="[$-40C]d\-mmm;@"/>
    <numFmt numFmtId="167" formatCode="#,##0.00\ _C_H_F"/>
    <numFmt numFmtId="168" formatCode="mm/yyyy"/>
  </numFmts>
  <fonts count="5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i val="1"/>
      <sz val="11"/>
      <scheme val="minor"/>
    </font>
    <font>
      <name val="Calibri"/>
      <family val="2"/>
      <i val="1"/>
      <color theme="0" tint="-0.3499862666707358"/>
      <sz val="11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sz val="7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color theme="0" tint="-0.499984740745262"/>
      <sz val="11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theme="0" tint="-0.3499862666707358"/>
      <sz val="11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theme="0" tint="-0.3499862666707358"/>
      <sz val="8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i val="1"/>
      <color rgb="FF000000"/>
      <sz val="11"/>
      <scheme val="minor"/>
    </font>
    <font>
      <name val="Calibri"/>
      <family val="2"/>
      <strike val="1"/>
      <sz val="11"/>
      <scheme val="minor"/>
    </font>
    <font>
      <name val="Calibri"/>
      <family val="2"/>
      <b val="1"/>
      <strike val="1"/>
      <sz val="11"/>
      <scheme val="minor"/>
    </font>
    <font>
      <name val="Calibri"/>
      <family val="2"/>
      <strike val="1"/>
      <sz val="8"/>
      <scheme val="minor"/>
    </font>
    <font>
      <name val="Calibri"/>
      <family val="2"/>
      <strike val="1"/>
      <sz val="10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6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b val="1"/>
      <color rgb="FFFFFFFF"/>
      <sz val="22"/>
    </font>
    <font>
      <name val="Calibri"/>
      <i val="1"/>
      <color rgb="FF244B5A"/>
      <sz val="11"/>
    </font>
    <font>
      <name val="Calibri"/>
      <b val="1"/>
      <color rgb="FF113A4A"/>
      <sz val="12"/>
    </font>
    <font>
      <name val="Calibri"/>
      <b val="1"/>
      <color rgb="FF5A4300"/>
      <sz val="10"/>
    </font>
    <font>
      <name val="Calibri"/>
      <b val="1"/>
      <color rgb="FFFFFFFF"/>
      <sz val="12"/>
    </font>
    <font>
      <name val="Calibri"/>
      <color rgb="FF23424D"/>
      <sz val="11"/>
    </font>
    <font>
      <name val="Calibri"/>
      <i val="1"/>
      <color rgb="FF6B7D85"/>
      <sz val="9"/>
    </font>
    <font>
      <name val="Calibri"/>
      <b val="1"/>
      <color rgb="FF666666"/>
      <sz val="12"/>
    </font>
    <font>
      <name val="Calibri"/>
      <family val="2"/>
      <color rgb="FF9C0006"/>
      <sz val="11"/>
      <scheme val="minor"/>
    </font>
    <font>
      <name val="Calibri"/>
      <family val="2"/>
      <b val="1"/>
      <color rgb="FF9C0006"/>
      <sz val="8"/>
      <scheme val="minor"/>
    </font>
    <font>
      <name val="Calibri"/>
      <family val="2"/>
      <color rgb="FF9C0006"/>
      <sz val="8"/>
      <scheme val="minor"/>
    </font>
  </fonts>
  <fills count="26">
    <fill>
      <patternFill/>
    </fill>
    <fill>
      <patternFill patternType="gray125"/>
    </fill>
    <fill>
      <patternFill patternType="solid">
        <fgColor rgb="FFBDD33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0B3A53"/>
      </patternFill>
    </fill>
    <fill>
      <patternFill patternType="solid">
        <fgColor rgb="FFEAF4F7"/>
      </patternFill>
    </fill>
    <fill>
      <patternFill patternType="solid">
        <fgColor rgb="FFDFF2F8"/>
      </patternFill>
    </fill>
    <fill>
      <patternFill patternType="solid">
        <fgColor rgb="FFFFF2CC"/>
      </patternFill>
    </fill>
    <fill>
      <patternFill patternType="solid">
        <fgColor rgb="FF1F6E8C"/>
      </patternFill>
    </fill>
    <fill>
      <patternFill patternType="solid">
        <fgColor rgb="FFF8FBFD"/>
      </patternFill>
    </fill>
    <fill>
      <patternFill patternType="solid">
        <fgColor rgb="FFF2F2F2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8AB6C7"/>
      </left>
      <right style="medium">
        <color rgb="FF8AB6C7"/>
      </right>
      <top style="medium">
        <color rgb="FF8AB6C7"/>
      </top>
      <bottom style="medium">
        <color rgb="FF8AB6C7"/>
      </bottom>
      <diagonal/>
    </border>
    <border>
      <left style="thin">
        <color rgb="FF0E4D66"/>
      </left>
      <right style="thin">
        <color rgb="FF0E4D66"/>
      </right>
      <top style="thin">
        <color rgb="FF0E4D66"/>
      </top>
      <bottom style="thin">
        <color rgb="FF0E4D66"/>
      </bottom>
      <diagonal/>
    </border>
    <border>
      <left style="thin">
        <color rgb="FFB7D5E1"/>
      </left>
      <right style="thin">
        <color rgb="FFB7D5E1"/>
      </right>
      <top style="thin">
        <color rgb="FFB7D5E1"/>
      </top>
      <bottom style="thin">
        <color rgb="FFB7D5E1"/>
      </bottom>
      <diagonal/>
    </border>
    <border>
      <left/>
      <right/>
      <top style="thin">
        <color rgb="FF0E4D66"/>
      </top>
      <bottom/>
      <diagonal/>
    </border>
    <border>
      <left style="thin">
        <color rgb="FF0E4D66"/>
      </left>
      <right/>
      <top/>
      <bottom/>
      <diagonal/>
    </border>
    <border>
      <left/>
      <right style="thin">
        <color rgb="FF0E4D66"/>
      </right>
      <top style="thin">
        <color rgb="FF0E4D66"/>
      </top>
      <bottom/>
      <diagonal/>
    </border>
    <border>
      <left/>
      <right style="thin">
        <color rgb="FF0E4D66"/>
      </right>
      <top/>
      <bottom/>
      <diagonal/>
    </border>
    <border>
      <left style="thin">
        <color rgb="FF0E4D66"/>
      </left>
      <right/>
      <top/>
      <bottom style="thin">
        <color rgb="FF0E4D66"/>
      </bottom>
      <diagonal/>
    </border>
    <border>
      <left/>
      <right/>
      <top/>
      <bottom style="thin">
        <color rgb="FF0E4D66"/>
      </bottom>
      <diagonal/>
    </border>
    <border>
      <left/>
      <right style="thin">
        <color rgb="FF0E4D66"/>
      </right>
      <top/>
      <bottom style="thin">
        <color rgb="FF0E4D66"/>
      </bottom>
      <diagonal/>
    </border>
    <border>
      <left/>
      <right/>
      <top style="thin">
        <color rgb="FFB7D5E1"/>
      </top>
      <bottom/>
      <diagonal/>
    </border>
    <border>
      <left style="thin">
        <color rgb="FFB7D5E1"/>
      </left>
      <right/>
      <top/>
      <bottom/>
      <diagonal/>
    </border>
    <border>
      <left/>
      <right style="thin">
        <color rgb="FFB7D5E1"/>
      </right>
      <top style="thin">
        <color rgb="FFB7D5E1"/>
      </top>
      <bottom/>
      <diagonal/>
    </border>
    <border>
      <left/>
      <right style="thin">
        <color rgb="FFB7D5E1"/>
      </right>
      <top/>
      <bottom/>
      <diagonal/>
    </border>
    <border>
      <left style="thin">
        <color rgb="FFB7D5E1"/>
      </left>
      <right/>
      <top/>
      <bottom style="thin">
        <color rgb="FFB7D5E1"/>
      </bottom>
      <diagonal/>
    </border>
    <border>
      <left/>
      <right/>
      <top/>
      <bottom style="thin">
        <color rgb="FFB7D5E1"/>
      </bottom>
      <diagonal/>
    </border>
    <border>
      <left/>
      <right style="thin">
        <color rgb="FFB7D5E1"/>
      </right>
      <top/>
      <bottom style="thin">
        <color rgb="FFB7D5E1"/>
      </bottom>
      <diagonal/>
    </border>
    <border>
      <left/>
      <right/>
      <top style="medium">
        <color rgb="FF8AB6C7"/>
      </top>
      <bottom/>
      <diagonal/>
    </border>
    <border>
      <left style="medium">
        <color rgb="FF8AB6C7"/>
      </left>
      <right/>
      <top/>
      <bottom/>
      <diagonal/>
    </border>
    <border>
      <left/>
      <right style="medium">
        <color rgb="FF8AB6C7"/>
      </right>
      <top style="medium">
        <color rgb="FF8AB6C7"/>
      </top>
      <bottom/>
      <diagonal/>
    </border>
    <border>
      <left/>
      <right style="medium">
        <color rgb="FF8AB6C7"/>
      </right>
      <top/>
      <bottom/>
      <diagonal/>
    </border>
    <border>
      <left style="medium">
        <color rgb="FF8AB6C7"/>
      </left>
      <right/>
      <top/>
      <bottom style="medium">
        <color rgb="FF8AB6C7"/>
      </bottom>
      <diagonal/>
    </border>
    <border>
      <left/>
      <right/>
      <top/>
      <bottom style="medium">
        <color rgb="FF8AB6C7"/>
      </bottom>
      <diagonal/>
    </border>
    <border>
      <left/>
      <right style="medium">
        <color rgb="FF8AB6C7"/>
      </right>
      <top/>
      <bottom style="medium">
        <color rgb="FF8AB6C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6">
    <xf numFmtId="0" fontId="2" fillId="0" borderId="0"/>
    <xf numFmtId="0" fontId="20" fillId="0" borderId="0"/>
    <xf numFmtId="0" fontId="20" fillId="0" borderId="0"/>
    <xf numFmtId="43" fontId="2" fillId="0" borderId="0"/>
    <xf numFmtId="9" fontId="2" fillId="0" borderId="0"/>
    <xf numFmtId="0" fontId="20" fillId="0" borderId="0"/>
  </cellStyleXfs>
  <cellXfs count="600">
    <xf numFmtId="0" fontId="0" fillId="0" borderId="0" pivotButton="0" quotePrefix="0" xfId="0"/>
    <xf numFmtId="0" fontId="4" fillId="0" borderId="0" applyAlignment="1" pivotButton="0" quotePrefix="0" xfId="1">
      <alignment horizontal="center" vertical="center"/>
    </xf>
    <xf numFmtId="0" fontId="4" fillId="0" borderId="4" pivotButton="0" quotePrefix="0" xfId="1"/>
    <xf numFmtId="4" fontId="5" fillId="0" borderId="0" pivotButton="0" quotePrefix="0" xfId="1"/>
    <xf numFmtId="0" fontId="4" fillId="0" borderId="0" pivotButton="0" quotePrefix="0" xfId="1"/>
    <xf numFmtId="4" fontId="4" fillId="0" borderId="0" pivotButton="0" quotePrefix="0" xfId="1"/>
    <xf numFmtId="0" fontId="6" fillId="0" borderId="0" pivotButton="0" quotePrefix="0" xfId="1"/>
    <xf numFmtId="4" fontId="3" fillId="2" borderId="1" pivotButton="0" quotePrefix="0" xfId="1"/>
    <xf numFmtId="0" fontId="3" fillId="0" borderId="0" pivotButton="0" quotePrefix="0" xfId="1"/>
    <xf numFmtId="14" fontId="4" fillId="0" borderId="0" pivotButton="0" quotePrefix="0" xfId="1"/>
    <xf numFmtId="4" fontId="4" fillId="0" borderId="0" applyAlignment="1" pivotButton="0" quotePrefix="0" xfId="1">
      <alignment horizontal="right"/>
    </xf>
    <xf numFmtId="0" fontId="3" fillId="0" borderId="4" pivotButton="0" quotePrefix="0" xfId="1"/>
    <xf numFmtId="4" fontId="3" fillId="0" borderId="0" pivotButton="0" quotePrefix="0" xfId="1"/>
    <xf numFmtId="4" fontId="4" fillId="0" borderId="15" pivotButton="0" quotePrefix="0" xfId="1"/>
    <xf numFmtId="4" fontId="4" fillId="0" borderId="16" pivotButton="0" quotePrefix="0" xfId="1"/>
    <xf numFmtId="4" fontId="7" fillId="0" borderId="0" pivotButton="0" quotePrefix="0" xfId="1"/>
    <xf numFmtId="0" fontId="4" fillId="0" borderId="15" pivotButton="0" quotePrefix="0" xfId="1"/>
    <xf numFmtId="0" fontId="4" fillId="0" borderId="16" pivotButton="0" quotePrefix="0" xfId="1"/>
    <xf numFmtId="0" fontId="4" fillId="0" borderId="13" pivotButton="0" quotePrefix="0" xfId="1"/>
    <xf numFmtId="0" fontId="3" fillId="2" borderId="6" pivotButton="0" quotePrefix="0" xfId="1"/>
    <xf numFmtId="4" fontId="3" fillId="0" borderId="1" pivotButton="0" quotePrefix="0" xfId="1"/>
    <xf numFmtId="4" fontId="4" fillId="0" borderId="18" pivotButton="0" quotePrefix="0" xfId="1"/>
    <xf numFmtId="0" fontId="4" fillId="0" borderId="18" pivotButton="0" quotePrefix="0" xfId="1"/>
    <xf numFmtId="4" fontId="4" fillId="0" borderId="24" pivotButton="0" quotePrefix="0" xfId="1"/>
    <xf numFmtId="0" fontId="4" fillId="0" borderId="24" pivotButton="0" quotePrefix="0" xfId="1"/>
    <xf numFmtId="0" fontId="6" fillId="0" borderId="16" pivotButton="0" quotePrefix="0" xfId="1"/>
    <xf numFmtId="0" fontId="4" fillId="0" borderId="25" pivotButton="0" quotePrefix="0" xfId="1"/>
    <xf numFmtId="0" fontId="4" fillId="0" borderId="14" pivotButton="0" quotePrefix="0" xfId="1"/>
    <xf numFmtId="4" fontId="3" fillId="0" borderId="4" pivotButton="0" quotePrefix="0" xfId="1"/>
    <xf numFmtId="0" fontId="4" fillId="7" borderId="5" pivotButton="0" quotePrefix="0" xfId="1"/>
    <xf numFmtId="0" fontId="4" fillId="7" borderId="1" pivotButton="0" quotePrefix="0" xfId="1"/>
    <xf numFmtId="0" fontId="4" fillId="5" borderId="6" pivotButton="0" quotePrefix="0" xfId="1"/>
    <xf numFmtId="0" fontId="4" fillId="5" borderId="7" pivotButton="0" quotePrefix="0" xfId="1"/>
    <xf numFmtId="4" fontId="3" fillId="5" borderId="7" pivotButton="0" quotePrefix="0" xfId="1"/>
    <xf numFmtId="4" fontId="4" fillId="9" borderId="7" pivotButton="0" quotePrefix="0" xfId="1"/>
    <xf numFmtId="0" fontId="9" fillId="0" borderId="5" pivotButton="0" quotePrefix="0" xfId="1"/>
    <xf numFmtId="0" fontId="9" fillId="0" borderId="1" pivotButton="0" quotePrefix="0" xfId="1"/>
    <xf numFmtId="0" fontId="8" fillId="0" borderId="8" pivotButton="0" quotePrefix="0" xfId="1"/>
    <xf numFmtId="0" fontId="8" fillId="0" borderId="9" pivotButton="0" quotePrefix="0" xfId="1"/>
    <xf numFmtId="4" fontId="8" fillId="0" borderId="28" pivotButton="0" quotePrefix="0" xfId="1"/>
    <xf numFmtId="4" fontId="4" fillId="0" borderId="31" pivotButton="0" quotePrefix="0" xfId="1"/>
    <xf numFmtId="2" fontId="3" fillId="0" borderId="21" applyAlignment="1" pivotButton="0" quotePrefix="0" xfId="1">
      <alignment horizontal="center" vertical="center"/>
    </xf>
    <xf numFmtId="2" fontId="3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0" fillId="0" borderId="23" applyAlignment="1" pivotButton="0" quotePrefix="0" xfId="0">
      <alignment horizontal="center" vertical="center"/>
    </xf>
    <xf numFmtId="4" fontId="4" fillId="0" borderId="14" pivotButton="0" quotePrefix="0" xfId="1"/>
    <xf numFmtId="14" fontId="4" fillId="0" borderId="26" pivotButton="0" quotePrefix="0" xfId="1"/>
    <xf numFmtId="0" fontId="4" fillId="0" borderId="26" pivotButton="0" quotePrefix="0" xfId="1"/>
    <xf numFmtId="0" fontId="10" fillId="0" borderId="0" applyAlignment="1" pivotButton="0" quotePrefix="0" xfId="1">
      <alignment vertical="top" wrapText="1"/>
    </xf>
    <xf numFmtId="0" fontId="6" fillId="0" borderId="24" pivotButton="0" quotePrefix="0" xfId="1"/>
    <xf numFmtId="0" fontId="6" fillId="0" borderId="15" pivotButton="0" quotePrefix="0" xfId="1"/>
    <xf numFmtId="0" fontId="9" fillId="0" borderId="24" applyAlignment="1" pivotButton="0" quotePrefix="0" xfId="1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2" fillId="0" borderId="5" applyAlignment="1" pivotButton="0" quotePrefix="0" xfId="1">
      <alignment vertical="top"/>
    </xf>
    <xf numFmtId="0" fontId="10" fillId="0" borderId="5" applyAlignment="1" pivotButton="0" quotePrefix="0" xfId="1">
      <alignment vertical="top"/>
    </xf>
    <xf numFmtId="0" fontId="10" fillId="0" borderId="1" applyAlignment="1" pivotButton="0" quotePrefix="0" xfId="1">
      <alignment vertical="top" wrapText="1"/>
    </xf>
    <xf numFmtId="0" fontId="10" fillId="0" borderId="12" applyAlignment="1" pivotButton="0" quotePrefix="0" xfId="1">
      <alignment vertical="top" wrapText="1"/>
    </xf>
    <xf numFmtId="0" fontId="12" fillId="0" borderId="2" applyAlignment="1" pivotButton="0" quotePrefix="0" xfId="1">
      <alignment vertical="top"/>
    </xf>
    <xf numFmtId="0" fontId="10" fillId="0" borderId="2" applyAlignment="1" pivotButton="0" quotePrefix="0" xfId="1">
      <alignment vertical="top"/>
    </xf>
    <xf numFmtId="0" fontId="10" fillId="0" borderId="3" applyAlignment="1" pivotButton="0" quotePrefix="0" xfId="1">
      <alignment vertical="top" wrapText="1"/>
    </xf>
    <xf numFmtId="0" fontId="10" fillId="0" borderId="29" applyAlignment="1" pivotButton="0" quotePrefix="0" xfId="1">
      <alignment vertical="top" wrapText="1"/>
    </xf>
    <xf numFmtId="0" fontId="10" fillId="0" borderId="20" applyAlignment="1" pivotButton="0" quotePrefix="0" xfId="1">
      <alignment vertical="top" wrapText="1"/>
    </xf>
    <xf numFmtId="0" fontId="4" fillId="0" borderId="17" pivotButton="0" quotePrefix="0" xfId="1"/>
    <xf numFmtId="10" fontId="3" fillId="0" borderId="0" pivotButton="0" quotePrefix="0" xfId="1"/>
    <xf numFmtId="0" fontId="13" fillId="0" borderId="1" applyAlignment="1" pivotButton="0" quotePrefix="0" xfId="1">
      <alignment vertical="top" wrapText="1"/>
    </xf>
    <xf numFmtId="0" fontId="13" fillId="0" borderId="12" applyAlignment="1" pivotButton="0" quotePrefix="0" xfId="1">
      <alignment vertical="top" wrapText="1"/>
    </xf>
    <xf numFmtId="10" fontId="3" fillId="0" borderId="4" pivotButton="0" quotePrefix="0" xfId="1"/>
    <xf numFmtId="0" fontId="11" fillId="0" borderId="4" applyAlignment="1" pivotButton="0" quotePrefix="0" xfId="0">
      <alignment horizontal="center" vertical="center"/>
    </xf>
    <xf numFmtId="0" fontId="10" fillId="0" borderId="4" applyAlignment="1" pivotButton="0" quotePrefix="0" xfId="1">
      <alignment vertical="top" wrapText="1"/>
    </xf>
    <xf numFmtId="0" fontId="11" fillId="0" borderId="0" applyAlignment="1" pivotButton="0" quotePrefix="0" xfId="0">
      <alignment horizontal="center" vertical="center"/>
    </xf>
    <xf numFmtId="4" fontId="3" fillId="3" borderId="4" pivotButton="0" quotePrefix="0" xfId="1"/>
    <xf numFmtId="4" fontId="3" fillId="3" borderId="0" pivotButton="0" quotePrefix="0" xfId="1"/>
    <xf numFmtId="4" fontId="3" fillId="6" borderId="6" pivotButton="0" quotePrefix="0" xfId="1"/>
    <xf numFmtId="4" fontId="3" fillId="6" borderId="0" pivotButton="0" quotePrefix="0" xfId="1"/>
    <xf numFmtId="4" fontId="3" fillId="8" borderId="6" pivotButton="0" quotePrefix="0" xfId="1"/>
    <xf numFmtId="4" fontId="3" fillId="9" borderId="6" pivotButton="0" quotePrefix="0" xfId="1"/>
    <xf numFmtId="4" fontId="3" fillId="9" borderId="7" pivotButton="0" quotePrefix="0" xfId="1"/>
    <xf numFmtId="4" fontId="3" fillId="9" borderId="30" pivotButton="0" quotePrefix="0" xfId="1"/>
    <xf numFmtId="4" fontId="3" fillId="9" borderId="0" pivotButton="0" quotePrefix="0" xfId="1"/>
    <xf numFmtId="10" fontId="3" fillId="0" borderId="37" pivotButton="0" quotePrefix="0" xfId="1"/>
    <xf numFmtId="10" fontId="3" fillId="0" borderId="38" pivotButton="0" quotePrefix="0" xfId="1"/>
    <xf numFmtId="10" fontId="3" fillId="0" borderId="39" pivotButton="0" quotePrefix="0" xfId="1"/>
    <xf numFmtId="0" fontId="15" fillId="0" borderId="0" pivotButton="0" quotePrefix="0" xfId="1"/>
    <xf numFmtId="0" fontId="12" fillId="0" borderId="0" pivotButton="0" quotePrefix="0" xfId="1"/>
    <xf numFmtId="0" fontId="4" fillId="0" borderId="40" pivotButton="0" quotePrefix="0" xfId="1"/>
    <xf numFmtId="0" fontId="3" fillId="0" borderId="4" applyAlignment="1" pivotButton="0" quotePrefix="0" xfId="1">
      <alignment horizontal="right"/>
    </xf>
    <xf numFmtId="4" fontId="12" fillId="0" borderId="0" pivotButton="0" quotePrefix="0" xfId="1"/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/>
    </xf>
    <xf numFmtId="4" fontId="15" fillId="0" borderId="0" pivotButton="0" quotePrefix="0" xfId="1"/>
    <xf numFmtId="0" fontId="16" fillId="0" borderId="0" pivotButton="0" quotePrefix="0" xfId="0"/>
    <xf numFmtId="2" fontId="14" fillId="0" borderId="0" applyAlignment="1" pivotButton="0" quotePrefix="0" xfId="0">
      <alignment horizontal="center" vertical="center"/>
    </xf>
    <xf numFmtId="0" fontId="12" fillId="0" borderId="0" applyAlignment="1" pivotButton="0" quotePrefix="0" xfId="1">
      <alignment horizontal="center" vertical="center" wrapText="1"/>
    </xf>
    <xf numFmtId="10" fontId="12" fillId="0" borderId="0" pivotButton="0" quotePrefix="0" xfId="1"/>
    <xf numFmtId="14" fontId="12" fillId="0" borderId="0" pivotButton="0" quotePrefix="0" xfId="1"/>
    <xf numFmtId="0" fontId="4" fillId="0" borderId="0" applyAlignment="1" pivotButton="0" quotePrefix="0" xfId="1">
      <alignment horizontal="center" vertical="center" wrapText="1"/>
    </xf>
    <xf numFmtId="0" fontId="4" fillId="0" borderId="26" applyAlignment="1" pivotButton="0" quotePrefix="0" xfId="1">
      <alignment horizontal="center" vertical="center" wrapText="1"/>
    </xf>
    <xf numFmtId="2" fontId="14" fillId="0" borderId="10" applyAlignment="1" pivotButton="0" quotePrefix="0" xfId="0">
      <alignment horizontal="center" vertical="center"/>
    </xf>
    <xf numFmtId="2" fontId="14" fillId="0" borderId="11" applyAlignment="1" pivotButton="0" quotePrefix="0" xfId="0">
      <alignment horizontal="center" vertical="center"/>
    </xf>
    <xf numFmtId="2" fontId="14" fillId="0" borderId="27" applyAlignment="1" pivotButton="0" quotePrefix="0" xfId="0">
      <alignment horizontal="center" vertical="center"/>
    </xf>
    <xf numFmtId="14" fontId="16" fillId="0" borderId="0" pivotButton="0" quotePrefix="0" xfId="0"/>
    <xf numFmtId="0" fontId="4" fillId="11" borderId="1" pivotButton="0" quotePrefix="0" xfId="1"/>
    <xf numFmtId="0" fontId="4" fillId="0" borderId="41" pivotButton="0" quotePrefix="0" xfId="1"/>
    <xf numFmtId="0" fontId="4" fillId="0" borderId="42" pivotButton="0" quotePrefix="0" xfId="1"/>
    <xf numFmtId="4" fontId="4" fillId="0" borderId="42" pivotButton="0" quotePrefix="0" xfId="1"/>
    <xf numFmtId="4" fontId="4" fillId="0" borderId="43" pivotButton="0" quotePrefix="0" xfId="1"/>
    <xf numFmtId="0" fontId="4" fillId="11" borderId="44" pivotButton="0" quotePrefix="0" xfId="1"/>
    <xf numFmtId="0" fontId="4" fillId="0" borderId="45" pivotButton="0" quotePrefix="0" xfId="1"/>
    <xf numFmtId="0" fontId="4" fillId="11" borderId="46" pivotButton="0" quotePrefix="0" xfId="1"/>
    <xf numFmtId="3" fontId="4" fillId="0" borderId="0" pivotButton="0" quotePrefix="0" xfId="1"/>
    <xf numFmtId="3" fontId="3" fillId="0" borderId="0" pivotButton="0" quotePrefix="0" xfId="1"/>
    <xf numFmtId="3" fontId="4" fillId="0" borderId="18" pivotButton="0" quotePrefix="0" xfId="1"/>
    <xf numFmtId="3" fontId="4" fillId="0" borderId="16" pivotButton="0" quotePrefix="0" xfId="1"/>
    <xf numFmtId="3" fontId="3" fillId="0" borderId="20" pivotButton="0" quotePrefix="0" xfId="1"/>
    <xf numFmtId="3" fontId="4" fillId="0" borderId="12" pivotButton="0" quotePrefix="0" xfId="1"/>
    <xf numFmtId="3" fontId="4" fillId="0" borderId="19" pivotButton="0" quotePrefix="0" xfId="1"/>
    <xf numFmtId="3" fontId="4" fillId="0" borderId="31" pivotButton="0" quotePrefix="0" xfId="1"/>
    <xf numFmtId="3" fontId="3" fillId="10" borderId="12" pivotButton="0" quotePrefix="0" xfId="1"/>
    <xf numFmtId="3" fontId="4" fillId="0" borderId="17" pivotButton="0" quotePrefix="0" xfId="1"/>
    <xf numFmtId="3" fontId="4" fillId="0" borderId="14" pivotButton="0" quotePrefix="0" xfId="1"/>
    <xf numFmtId="3" fontId="4" fillId="6" borderId="12" pivotButton="0" quotePrefix="0" xfId="1"/>
    <xf numFmtId="3" fontId="3" fillId="3" borderId="20" pivotButton="0" quotePrefix="0" xfId="1"/>
    <xf numFmtId="3" fontId="3" fillId="3" borderId="12" pivotButton="0" quotePrefix="0" xfId="1"/>
    <xf numFmtId="0" fontId="4" fillId="0" borderId="4" applyAlignment="1" pivotButton="0" quotePrefix="0" xfId="1">
      <alignment horizontal="center" vertical="center"/>
    </xf>
    <xf numFmtId="0" fontId="4" fillId="0" borderId="4" applyAlignment="1" pivotButton="0" quotePrefix="0" xfId="1">
      <alignment horizontal="left" vertical="center"/>
    </xf>
    <xf numFmtId="0" fontId="4" fillId="7" borderId="48" pivotButton="0" quotePrefix="0" xfId="1"/>
    <xf numFmtId="3" fontId="3" fillId="7" borderId="44" pivotButton="0" quotePrefix="0" xfId="1"/>
    <xf numFmtId="0" fontId="4" fillId="0" borderId="33" pivotButton="0" quotePrefix="0" xfId="1"/>
    <xf numFmtId="4" fontId="3" fillId="0" borderId="33" pivotButton="0" quotePrefix="0" xfId="1"/>
    <xf numFmtId="4" fontId="3" fillId="2" borderId="48" pivotButton="0" quotePrefix="0" xfId="1"/>
    <xf numFmtId="3" fontId="3" fillId="2" borderId="44" pivotButton="0" quotePrefix="0" xfId="1"/>
    <xf numFmtId="0" fontId="4" fillId="0" borderId="47" applyAlignment="1" pivotButton="0" quotePrefix="0" xfId="1">
      <alignment horizontal="center" vertical="center"/>
    </xf>
    <xf numFmtId="0" fontId="4" fillId="0" borderId="48" applyAlignment="1" pivotButton="0" quotePrefix="0" xfId="1">
      <alignment horizontal="center" vertical="center"/>
    </xf>
    <xf numFmtId="0" fontId="4" fillId="0" borderId="44" applyAlignment="1" pivotButton="0" quotePrefix="0" xfId="1">
      <alignment horizontal="center" vertical="center" wrapText="1"/>
    </xf>
    <xf numFmtId="3" fontId="4" fillId="0" borderId="15" pivotButton="0" quotePrefix="0" xfId="1"/>
    <xf numFmtId="0" fontId="17" fillId="13" borderId="5" applyAlignment="1" pivotButton="0" quotePrefix="0" xfId="1">
      <alignment vertical="top"/>
    </xf>
    <xf numFmtId="0" fontId="17" fillId="12" borderId="1" applyAlignment="1" pivotButton="0" quotePrefix="0" xfId="1">
      <alignment vertical="top" wrapText="1"/>
    </xf>
    <xf numFmtId="0" fontId="17" fillId="12" borderId="12" applyAlignment="1" pivotButton="0" quotePrefix="0" xfId="1">
      <alignment vertical="top" wrapText="1"/>
    </xf>
    <xf numFmtId="14" fontId="3" fillId="0" borderId="0" pivotButton="0" quotePrefix="0" xfId="1"/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right"/>
    </xf>
    <xf numFmtId="14" fontId="12" fillId="0" borderId="0" applyAlignment="1" pivotButton="0" quotePrefix="0" xfId="1">
      <alignment wrapText="1"/>
    </xf>
    <xf numFmtId="14" fontId="12" fillId="0" borderId="0" applyAlignment="1" pivotButton="0" quotePrefix="0" xfId="1">
      <alignment horizontal="right"/>
    </xf>
    <xf numFmtId="14" fontId="16" fillId="0" borderId="0" applyAlignment="1" pivotButton="0" quotePrefix="0" xfId="0">
      <alignment horizontal="right"/>
    </xf>
    <xf numFmtId="14" fontId="12" fillId="0" borderId="0" applyAlignment="1" pivotButton="0" quotePrefix="0" xfId="1">
      <alignment horizontal="right" wrapText="1"/>
    </xf>
    <xf numFmtId="14" fontId="15" fillId="0" borderId="0" applyAlignment="1" pivotButton="0" quotePrefix="0" xfId="1">
      <alignment horizontal="right"/>
    </xf>
    <xf numFmtId="14" fontId="12" fillId="0" borderId="4" applyAlignment="1" pivotButton="0" quotePrefix="0" xfId="1">
      <alignment wrapText="1"/>
    </xf>
    <xf numFmtId="14" fontId="12" fillId="0" borderId="26" applyAlignment="1" pivotButton="0" quotePrefix="0" xfId="1">
      <alignment wrapText="1"/>
    </xf>
    <xf numFmtId="14" fontId="12" fillId="0" borderId="4" applyAlignment="1" pivotButton="0" quotePrefix="0" xfId="1">
      <alignment horizontal="right"/>
    </xf>
    <xf numFmtId="14" fontId="12" fillId="0" borderId="26" applyAlignment="1" pivotButton="0" quotePrefix="0" xfId="1">
      <alignment horizontal="right"/>
    </xf>
    <xf numFmtId="14" fontId="16" fillId="0" borderId="4" applyAlignment="1" pivotButton="0" quotePrefix="0" xfId="0">
      <alignment horizontal="right"/>
    </xf>
    <xf numFmtId="14" fontId="16" fillId="0" borderId="26" applyAlignment="1" pivotButton="0" quotePrefix="0" xfId="0">
      <alignment horizontal="right"/>
    </xf>
    <xf numFmtId="14" fontId="12" fillId="0" borderId="4" applyAlignment="1" pivotButton="0" quotePrefix="0" xfId="1">
      <alignment horizontal="right" wrapText="1"/>
    </xf>
    <xf numFmtId="14" fontId="12" fillId="0" borderId="26" applyAlignment="1" pivotButton="0" quotePrefix="0" xfId="1">
      <alignment horizontal="right" wrapText="1"/>
    </xf>
    <xf numFmtId="14" fontId="15" fillId="0" borderId="4" applyAlignment="1" pivotButton="0" quotePrefix="0" xfId="1">
      <alignment horizontal="right"/>
    </xf>
    <xf numFmtId="14" fontId="15" fillId="0" borderId="26" applyAlignment="1" pivotButton="0" quotePrefix="0" xfId="1">
      <alignment horizontal="right"/>
    </xf>
    <xf numFmtId="14" fontId="12" fillId="0" borderId="4" pivotButton="0" quotePrefix="0" xfId="1"/>
    <xf numFmtId="14" fontId="12" fillId="0" borderId="26" pivotButton="0" quotePrefix="0" xfId="1"/>
    <xf numFmtId="14" fontId="16" fillId="0" borderId="4" pivotButton="0" quotePrefix="0" xfId="0"/>
    <xf numFmtId="14" fontId="16" fillId="0" borderId="26" pivotButton="0" quotePrefix="0" xfId="0"/>
    <xf numFmtId="14" fontId="12" fillId="0" borderId="32" pivotButton="0" quotePrefix="0" xfId="1"/>
    <xf numFmtId="14" fontId="12" fillId="0" borderId="33" pivotButton="0" quotePrefix="0" xfId="1"/>
    <xf numFmtId="14" fontId="12" fillId="0" borderId="34" pivotButton="0" quotePrefix="0" xfId="1"/>
    <xf numFmtId="0" fontId="4" fillId="0" borderId="4" applyAlignment="1" pivotButton="0" quotePrefix="0" xfId="1">
      <alignment horizontal="center" vertical="center" wrapText="1"/>
    </xf>
    <xf numFmtId="14" fontId="4" fillId="0" borderId="0" applyAlignment="1" pivotButton="0" quotePrefix="0" xfId="1">
      <alignment horizontal="center" vertical="center" wrapText="1"/>
    </xf>
    <xf numFmtId="0" fontId="12" fillId="0" borderId="26" applyAlignment="1" pivotButton="0" quotePrefix="0" xfId="1">
      <alignment horizontal="center" vertical="center" wrapText="1"/>
    </xf>
    <xf numFmtId="3" fontId="4" fillId="0" borderId="4" pivotButton="0" quotePrefix="0" xfId="1"/>
    <xf numFmtId="4" fontId="12" fillId="0" borderId="26" pivotButton="0" quotePrefix="0" xfId="1"/>
    <xf numFmtId="3" fontId="3" fillId="0" borderId="4" pivotButton="0" quotePrefix="0" xfId="1"/>
    <xf numFmtId="0" fontId="0" fillId="0" borderId="4" pivotButton="0" quotePrefix="0" xfId="0"/>
    <xf numFmtId="14" fontId="0" fillId="0" borderId="0" pivotButton="0" quotePrefix="0" xfId="0"/>
    <xf numFmtId="2" fontId="1" fillId="0" borderId="4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4" fontId="4" fillId="0" borderId="4" pivotButton="0" quotePrefix="0" xfId="1"/>
    <xf numFmtId="10" fontId="4" fillId="0" borderId="0" applyAlignment="1" pivotButton="0" quotePrefix="0" xfId="1">
      <alignment horizontal="center" vertical="center" wrapText="1"/>
    </xf>
    <xf numFmtId="10" fontId="4" fillId="0" borderId="0" pivotButton="0" quotePrefix="0" xfId="1"/>
    <xf numFmtId="14" fontId="4" fillId="0" borderId="4" pivotButton="0" quotePrefix="0" xfId="1"/>
    <xf numFmtId="10" fontId="6" fillId="0" borderId="0" pivotButton="0" quotePrefix="0" xfId="1"/>
    <xf numFmtId="14" fontId="0" fillId="0" borderId="4" pivotButton="0" quotePrefix="0" xfId="0"/>
    <xf numFmtId="14" fontId="3" fillId="0" borderId="4" applyAlignment="1" pivotButton="0" quotePrefix="0" xfId="1">
      <alignment horizontal="center"/>
    </xf>
    <xf numFmtId="2" fontId="1" fillId="0" borderId="4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2" fontId="3" fillId="0" borderId="4" applyAlignment="1" pivotButton="0" quotePrefix="0" xfId="1">
      <alignment vertical="center"/>
    </xf>
    <xf numFmtId="14" fontId="3" fillId="0" borderId="0" applyAlignment="1" pivotButton="0" quotePrefix="0" xfId="1">
      <alignment vertical="center"/>
    </xf>
    <xf numFmtId="4" fontId="4" fillId="0" borderId="32" pivotButton="0" quotePrefix="0" xfId="1"/>
    <xf numFmtId="14" fontId="4" fillId="0" borderId="33" pivotButton="0" quotePrefix="0" xfId="1"/>
    <xf numFmtId="4" fontId="12" fillId="0" borderId="34" pivotButton="0" quotePrefix="0" xfId="1"/>
    <xf numFmtId="2" fontId="14" fillId="0" borderId="37" applyAlignment="1" pivotButton="0" quotePrefix="0" xfId="0">
      <alignment horizontal="center" vertical="center"/>
    </xf>
    <xf numFmtId="2" fontId="14" fillId="0" borderId="38" applyAlignment="1" pivotButton="0" quotePrefix="0" xfId="0">
      <alignment horizontal="center" vertical="center"/>
    </xf>
    <xf numFmtId="2" fontId="14" fillId="0" borderId="39" applyAlignment="1" pivotButton="0" quotePrefix="0" xfId="0">
      <alignment horizontal="center" vertical="center"/>
    </xf>
    <xf numFmtId="14" fontId="14" fillId="0" borderId="37" applyAlignment="1" pivotButton="0" quotePrefix="0" xfId="0">
      <alignment horizontal="center" vertical="center" wrapText="1"/>
    </xf>
    <xf numFmtId="14" fontId="14" fillId="0" borderId="38" applyAlignment="1" pivotButton="0" quotePrefix="0" xfId="0">
      <alignment horizontal="center" vertical="center" wrapText="1"/>
    </xf>
    <xf numFmtId="2" fontId="14" fillId="0" borderId="39" applyAlignment="1" pivotButton="0" quotePrefix="0" xfId="0">
      <alignment horizontal="center" vertical="center" wrapText="1"/>
    </xf>
    <xf numFmtId="3" fontId="4" fillId="0" borderId="0" applyAlignment="1" pivotButton="0" quotePrefix="0" xfId="1">
      <alignment horizontal="center" vertical="center"/>
    </xf>
    <xf numFmtId="0" fontId="4" fillId="0" borderId="32" applyAlignment="1" pivotButton="0" quotePrefix="0" xfId="1">
      <alignment horizontal="center" vertical="center"/>
    </xf>
    <xf numFmtId="0" fontId="4" fillId="7" borderId="47" applyAlignment="1" pivotButton="0" quotePrefix="0" xfId="1">
      <alignment horizontal="center" vertical="center"/>
    </xf>
    <xf numFmtId="0" fontId="4" fillId="5" borderId="6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164" fontId="4" fillId="0" borderId="0" pivotButton="0" quotePrefix="0" xfId="3"/>
    <xf numFmtId="165" fontId="10" fillId="0" borderId="26" pivotButton="0" quotePrefix="0" xfId="4"/>
    <xf numFmtId="4" fontId="10" fillId="0" borderId="26" pivotButton="0" quotePrefix="0" xfId="1"/>
    <xf numFmtId="0" fontId="18" fillId="0" borderId="26" applyAlignment="1" pivotButton="0" quotePrefix="0" xfId="0">
      <alignment horizontal="center" vertical="center"/>
    </xf>
    <xf numFmtId="0" fontId="10" fillId="0" borderId="26" applyAlignment="1" pivotButton="0" quotePrefix="0" xfId="1">
      <alignment horizontal="center" vertical="center" wrapText="1"/>
    </xf>
    <xf numFmtId="9" fontId="4" fillId="0" borderId="0" pivotButton="0" quotePrefix="0" xfId="4"/>
    <xf numFmtId="4" fontId="4" fillId="0" borderId="0" applyAlignment="1" pivotButton="0" quotePrefix="0" xfId="1">
      <alignment horizontal="center" vertical="center"/>
    </xf>
    <xf numFmtId="9" fontId="4" fillId="0" borderId="4" pivotButton="0" quotePrefix="0" xfId="4"/>
    <xf numFmtId="9" fontId="4" fillId="0" borderId="26" pivotButton="0" quotePrefix="0" xfId="4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7" fontId="4" fillId="0" borderId="0" pivotButton="0" quotePrefix="0" xfId="1"/>
    <xf numFmtId="17" fontId="4" fillId="0" borderId="0" applyAlignment="1" pivotButton="0" quotePrefix="0" xfId="1">
      <alignment horizontal="center" vertical="center"/>
    </xf>
    <xf numFmtId="164" fontId="12" fillId="0" borderId="0" pivotButton="0" quotePrefix="0" xfId="3"/>
    <xf numFmtId="4" fontId="19" fillId="0" borderId="24" pivotButton="0" quotePrefix="0" xfId="1"/>
    <xf numFmtId="4" fontId="19" fillId="0" borderId="15" pivotButton="0" quotePrefix="0" xfId="1"/>
    <xf numFmtId="0" fontId="19" fillId="0" borderId="15" pivotButton="0" quotePrefix="0" xfId="1"/>
    <xf numFmtId="0" fontId="19" fillId="0" borderId="16" pivotButton="0" quotePrefix="0" xfId="1"/>
    <xf numFmtId="0" fontId="19" fillId="0" borderId="0" pivotButton="0" quotePrefix="0" xfId="1"/>
    <xf numFmtId="3" fontId="19" fillId="0" borderId="15" pivotButton="0" quotePrefix="0" xfId="1"/>
    <xf numFmtId="0" fontId="19" fillId="0" borderId="18" pivotButton="0" quotePrefix="0" xfId="1"/>
    <xf numFmtId="4" fontId="19" fillId="0" borderId="16" pivotButton="0" quotePrefix="0" xfId="1"/>
    <xf numFmtId="3" fontId="4" fillId="0" borderId="0" pivotButton="0" quotePrefix="0" xfId="0"/>
    <xf numFmtId="3" fontId="4" fillId="0" borderId="40" pivotButton="0" quotePrefix="0" xfId="1"/>
    <xf numFmtId="2" fontId="3" fillId="4" borderId="0" applyAlignment="1" pivotButton="0" quotePrefix="0" xfId="1">
      <alignment horizontal="center" vertical="center"/>
    </xf>
    <xf numFmtId="3" fontId="3" fillId="10" borderId="0" pivotButton="0" quotePrefix="0" xfId="1"/>
    <xf numFmtId="2" fontId="3" fillId="7" borderId="0" applyAlignment="1" pivotButton="0" quotePrefix="0" xfId="1">
      <alignment horizontal="center" vertical="center"/>
    </xf>
    <xf numFmtId="3" fontId="4" fillId="6" borderId="0" pivotButton="0" quotePrefix="0" xfId="1"/>
    <xf numFmtId="3" fontId="3" fillId="3" borderId="0" pivotButton="0" quotePrefix="0" xfId="1"/>
    <xf numFmtId="2" fontId="3" fillId="5" borderId="0" applyAlignment="1" pivotButton="0" quotePrefix="0" xfId="1">
      <alignment horizontal="center" vertical="center"/>
    </xf>
    <xf numFmtId="4" fontId="4" fillId="9" borderId="0" pivotButton="0" quotePrefix="0" xfId="1"/>
    <xf numFmtId="14" fontId="14" fillId="3" borderId="49" applyAlignment="1" pivotButton="0" quotePrefix="0" xfId="0">
      <alignment horizontal="center" vertical="center" wrapText="1"/>
    </xf>
    <xf numFmtId="165" fontId="4" fillId="0" borderId="0" pivotButton="0" quotePrefix="0" xfId="4"/>
    <xf numFmtId="10" fontId="4" fillId="0" borderId="0" pivotButton="0" quotePrefix="0" xfId="4"/>
    <xf numFmtId="0" fontId="10" fillId="0" borderId="0" pivotButton="0" quotePrefix="0" xfId="0"/>
    <xf numFmtId="2" fontId="3" fillId="5" borderId="23" applyAlignment="1" pivotButton="0" quotePrefix="0" xfId="1">
      <alignment vertical="center"/>
    </xf>
    <xf numFmtId="2" fontId="3" fillId="5" borderId="34" applyAlignment="1" pivotButton="0" quotePrefix="0" xfId="1">
      <alignment vertical="center"/>
    </xf>
    <xf numFmtId="2" fontId="14" fillId="0" borderId="11" applyAlignment="1" pivotButton="0" quotePrefix="0" xfId="0">
      <alignment horizontal="center" vertical="center" wrapText="1"/>
    </xf>
    <xf numFmtId="165" fontId="10" fillId="0" borderId="0" pivotButton="0" quotePrefix="0" xfId="4"/>
    <xf numFmtId="4" fontId="10" fillId="0" borderId="0" pivotButton="0" quotePrefix="0" xfId="1"/>
    <xf numFmtId="0" fontId="18" fillId="0" borderId="0" applyAlignment="1" pivotButton="0" quotePrefix="0" xfId="0">
      <alignment horizontal="center" vertical="center"/>
    </xf>
    <xf numFmtId="0" fontId="10" fillId="0" borderId="0" applyAlignment="1" pivotButton="0" quotePrefix="0" xfId="1">
      <alignment horizontal="center" vertical="center" wrapText="1"/>
    </xf>
    <xf numFmtId="4" fontId="12" fillId="0" borderId="33" pivotButton="0" quotePrefix="0" xfId="1"/>
    <xf numFmtId="4" fontId="4" fillId="11" borderId="1" pivotButton="0" quotePrefix="0" xfId="1"/>
    <xf numFmtId="3" fontId="3" fillId="11" borderId="1" pivotButton="0" quotePrefix="0" xfId="1"/>
    <xf numFmtId="3" fontId="4" fillId="11" borderId="5" applyAlignment="1" pivotButton="0" quotePrefix="0" xfId="1">
      <alignment horizontal="center" vertical="center"/>
    </xf>
    <xf numFmtId="3" fontId="6" fillId="0" borderId="0" pivotButton="0" quotePrefix="0" xfId="1"/>
    <xf numFmtId="2" fontId="4" fillId="0" borderId="21" applyAlignment="1" pivotButton="0" quotePrefix="0" xfId="1">
      <alignment horizontal="center" vertical="center"/>
    </xf>
    <xf numFmtId="0" fontId="4" fillId="2" borderId="47" applyAlignment="1" pivotButton="0" quotePrefix="0" xfId="1">
      <alignment horizontal="center" vertical="center"/>
    </xf>
    <xf numFmtId="0" fontId="10" fillId="0" borderId="5" applyAlignment="1" pivotButton="0" quotePrefix="0" xfId="1">
      <alignment horizontal="center" vertical="center"/>
    </xf>
    <xf numFmtId="3" fontId="4" fillId="0" borderId="13" pivotButton="0" quotePrefix="0" xfId="1"/>
    <xf numFmtId="3" fontId="4" fillId="0" borderId="50" pivotButton="0" quotePrefix="0" xfId="1"/>
    <xf numFmtId="3" fontId="4" fillId="0" borderId="52" pivotButton="0" quotePrefix="0" xfId="1"/>
    <xf numFmtId="2" fontId="3" fillId="7" borderId="23" applyAlignment="1" pivotButton="0" quotePrefix="0" xfId="1">
      <alignment vertical="center"/>
    </xf>
    <xf numFmtId="2" fontId="3" fillId="4" borderId="26" applyAlignment="1" pivotButton="0" quotePrefix="0" xfId="1">
      <alignment vertical="center"/>
    </xf>
    <xf numFmtId="2" fontId="3" fillId="4" borderId="34" applyAlignment="1" pivotButton="0" quotePrefix="0" xfId="1">
      <alignment vertical="center"/>
    </xf>
    <xf numFmtId="4" fontId="4" fillId="0" borderId="13" pivotButton="0" quotePrefix="0" xfId="1"/>
    <xf numFmtId="4" fontId="4" fillId="0" borderId="52" pivotButton="0" quotePrefix="0" xfId="1"/>
    <xf numFmtId="3" fontId="3" fillId="0" borderId="1" pivotButton="0" quotePrefix="0" xfId="1"/>
    <xf numFmtId="3" fontId="3" fillId="0" borderId="15" pivotButton="0" quotePrefix="0" xfId="1"/>
    <xf numFmtId="3" fontId="3" fillId="2" borderId="1" pivotButton="0" quotePrefix="0" xfId="1"/>
    <xf numFmtId="3" fontId="4" fillId="0" borderId="54" pivotButton="0" quotePrefix="0" xfId="1"/>
    <xf numFmtId="0" fontId="4" fillId="0" borderId="20" applyAlignment="1" pivotButton="0" quotePrefix="0" xfId="1">
      <alignment horizontal="center" vertical="center"/>
    </xf>
    <xf numFmtId="0" fontId="3" fillId="0" borderId="13" pivotButton="0" quotePrefix="0" xfId="1"/>
    <xf numFmtId="4" fontId="4" fillId="0" borderId="15" applyAlignment="1" pivotButton="0" quotePrefix="0" xfId="1">
      <alignment horizontal="right"/>
    </xf>
    <xf numFmtId="14" fontId="12" fillId="0" borderId="4" pivotButton="0" quotePrefix="0" xfId="4"/>
    <xf numFmtId="3" fontId="4" fillId="0" borderId="26" pivotButton="0" quotePrefix="0" xfId="1"/>
    <xf numFmtId="165" fontId="10" fillId="0" borderId="26" pivotButton="0" quotePrefix="0" xfId="1"/>
    <xf numFmtId="4" fontId="4" fillId="0" borderId="40" pivotButton="0" quotePrefix="0" xfId="1"/>
    <xf numFmtId="3" fontId="4" fillId="0" borderId="24" pivotButton="0" quotePrefix="0" xfId="1"/>
    <xf numFmtId="165" fontId="10" fillId="0" borderId="0" pivotButton="0" quotePrefix="0" xfId="1"/>
    <xf numFmtId="166" fontId="12" fillId="0" borderId="0" pivotButton="0" quotePrefix="0" xfId="1"/>
    <xf numFmtId="9" fontId="4" fillId="0" borderId="0" pivotButton="0" quotePrefix="0" xfId="1"/>
    <xf numFmtId="0" fontId="10" fillId="0" borderId="0" pivotButton="0" quotePrefix="0" xfId="1"/>
    <xf numFmtId="3" fontId="4" fillId="0" borderId="51" pivotButton="0" quotePrefix="0" xfId="1"/>
    <xf numFmtId="14" fontId="10" fillId="0" borderId="26" pivotButton="0" quotePrefix="0" xfId="1"/>
    <xf numFmtId="14" fontId="10" fillId="0" borderId="0" pivotButton="0" quotePrefix="0" xfId="1"/>
    <xf numFmtId="2" fontId="3" fillId="0" borderId="0" applyAlignment="1" pivotButton="0" quotePrefix="0" xfId="1">
      <alignment horizontal="center" vertical="center"/>
    </xf>
    <xf numFmtId="2" fontId="3" fillId="0" borderId="23" applyAlignment="1" pivotButton="0" quotePrefix="0" xfId="1">
      <alignment vertical="center"/>
    </xf>
    <xf numFmtId="4" fontId="4" fillId="0" borderId="17" pivotButton="0" quotePrefix="0" xfId="1"/>
    <xf numFmtId="0" fontId="10" fillId="0" borderId="26" pivotButton="0" quotePrefix="0" xfId="1"/>
    <xf numFmtId="4" fontId="3" fillId="3" borderId="56" pivotButton="0" quotePrefix="0" xfId="1"/>
    <xf numFmtId="164" fontId="4" fillId="0" borderId="4" pivotButton="0" quotePrefix="0" xfId="3"/>
    <xf numFmtId="10" fontId="4" fillId="0" borderId="26" pivotButton="0" quotePrefix="0" xfId="1"/>
    <xf numFmtId="0" fontId="4" fillId="0" borderId="56" pivotButton="0" quotePrefix="0" xfId="1"/>
    <xf numFmtId="0" fontId="4" fillId="0" borderId="57" pivotButton="0" quotePrefix="0" xfId="1"/>
    <xf numFmtId="0" fontId="4" fillId="0" borderId="34" pivotButton="0" quotePrefix="0" xfId="1"/>
    <xf numFmtId="0" fontId="10" fillId="0" borderId="25" applyAlignment="1" pivotButton="0" quotePrefix="0" xfId="1">
      <alignment vertical="top"/>
    </xf>
    <xf numFmtId="0" fontId="10" fillId="0" borderId="13" applyAlignment="1" pivotButton="0" quotePrefix="0" xfId="1">
      <alignment vertical="top" wrapText="1"/>
    </xf>
    <xf numFmtId="0" fontId="10" fillId="0" borderId="14" applyAlignment="1" pivotButton="0" quotePrefix="0" xfId="1">
      <alignment vertical="top" wrapText="1"/>
    </xf>
    <xf numFmtId="164" fontId="4" fillId="0" borderId="26" pivotButton="0" quotePrefix="0" xfId="3"/>
    <xf numFmtId="0" fontId="4" fillId="0" borderId="58" pivotButton="0" quotePrefix="0" xfId="1"/>
    <xf numFmtId="164" fontId="4" fillId="0" borderId="59" pivotButton="0" quotePrefix="0" xfId="3"/>
    <xf numFmtId="164" fontId="4" fillId="0" borderId="49" pivotButton="0" quotePrefix="0" xfId="3"/>
    <xf numFmtId="4" fontId="4" fillId="0" borderId="0" pivotButton="0" quotePrefix="0" xfId="0"/>
    <xf numFmtId="165" fontId="3" fillId="5" borderId="0" applyAlignment="1" pivotButton="0" quotePrefix="0" xfId="4">
      <alignment horizontal="center" vertical="center"/>
    </xf>
    <xf numFmtId="10" fontId="3" fillId="0" borderId="26" pivotButton="0" quotePrefix="0" xfId="1"/>
    <xf numFmtId="167" fontId="4" fillId="0" borderId="0" pivotButton="0" quotePrefix="0" xfId="3"/>
    <xf numFmtId="0" fontId="4" fillId="0" borderId="40" applyAlignment="1" pivotButton="0" quotePrefix="0" xfId="1">
      <alignment horizontal="center" vertical="center" wrapText="1"/>
    </xf>
    <xf numFmtId="0" fontId="12" fillId="0" borderId="24" applyAlignment="1" pivotButton="0" quotePrefix="0" xfId="1">
      <alignment vertical="top"/>
    </xf>
    <xf numFmtId="0" fontId="13" fillId="0" borderId="16" applyAlignment="1" pivotButton="0" quotePrefix="0" xfId="1">
      <alignment vertical="top" wrapText="1"/>
    </xf>
    <xf numFmtId="0" fontId="10" fillId="0" borderId="24" applyAlignment="1" pivotButton="0" quotePrefix="0" xfId="1">
      <alignment vertical="top"/>
    </xf>
    <xf numFmtId="0" fontId="10" fillId="0" borderId="40" applyAlignment="1" pivotButton="0" quotePrefix="0" xfId="1">
      <alignment vertical="top" wrapText="1"/>
    </xf>
    <xf numFmtId="0" fontId="10" fillId="0" borderId="15" applyAlignment="1" pivotButton="0" quotePrefix="0" xfId="1">
      <alignment vertical="top" wrapText="1"/>
    </xf>
    <xf numFmtId="0" fontId="10" fillId="0" borderId="16" applyAlignment="1" pivotButton="0" quotePrefix="0" xfId="1">
      <alignment vertical="top" wrapText="1"/>
    </xf>
    <xf numFmtId="0" fontId="13" fillId="0" borderId="0" applyAlignment="1" pivotButton="0" quotePrefix="0" xfId="1">
      <alignment vertical="top" wrapText="1"/>
    </xf>
    <xf numFmtId="165" fontId="4" fillId="12" borderId="49" applyAlignment="1" pivotButton="0" quotePrefix="0" xfId="1">
      <alignment horizontal="center" vertical="center"/>
    </xf>
    <xf numFmtId="0" fontId="4" fillId="12" borderId="0" pivotButton="0" quotePrefix="0" xfId="0"/>
    <xf numFmtId="2" fontId="3" fillId="0" borderId="26" applyAlignment="1" pivotButton="0" quotePrefix="0" xfId="1">
      <alignment vertical="center"/>
    </xf>
    <xf numFmtId="0" fontId="4" fillId="0" borderId="60" pivotButton="0" quotePrefix="0" xfId="1"/>
    <xf numFmtId="0" fontId="4" fillId="0" borderId="22" pivotButton="0" quotePrefix="0" xfId="1"/>
    <xf numFmtId="0" fontId="4" fillId="0" borderId="22" applyAlignment="1" pivotButton="0" quotePrefix="0" xfId="1">
      <alignment horizontal="center" vertical="center"/>
    </xf>
    <xf numFmtId="0" fontId="4" fillId="0" borderId="36" applyAlignment="1" pivotButton="0" quotePrefix="0" xfId="1">
      <alignment horizontal="center" vertical="center" wrapText="1"/>
    </xf>
    <xf numFmtId="0" fontId="4" fillId="0" borderId="23" applyAlignment="1" pivotButton="0" quotePrefix="0" xfId="1">
      <alignment horizontal="center" vertical="center" wrapText="1"/>
    </xf>
    <xf numFmtId="0" fontId="4" fillId="0" borderId="5" pivotButton="0" quotePrefix="0" xfId="1"/>
    <xf numFmtId="0" fontId="4" fillId="0" borderId="1" pivotButton="0" quotePrefix="0" xfId="1"/>
    <xf numFmtId="0" fontId="4" fillId="0" borderId="48" pivotButton="0" quotePrefix="0" xfId="1"/>
    <xf numFmtId="3" fontId="3" fillId="0" borderId="44" pivotButton="0" quotePrefix="0" xfId="1"/>
    <xf numFmtId="3" fontId="3" fillId="0" borderId="12" pivotButton="0" quotePrefix="0" xfId="1"/>
    <xf numFmtId="3" fontId="3" fillId="0" borderId="4" applyAlignment="1" pivotButton="0" quotePrefix="0" xfId="1">
      <alignment horizontal="right"/>
    </xf>
    <xf numFmtId="4" fontId="9" fillId="0" borderId="26" pivotButton="0" quotePrefix="0" xfId="1"/>
    <xf numFmtId="4" fontId="9" fillId="0" borderId="0" pivotButton="0" quotePrefix="0" xfId="1"/>
    <xf numFmtId="4" fontId="3" fillId="0" borderId="6" pivotButton="0" quotePrefix="0" xfId="1"/>
    <xf numFmtId="3" fontId="4" fillId="0" borderId="15" applyAlignment="1" pivotButton="0" quotePrefix="0" xfId="1">
      <alignment horizontal="center" vertical="center"/>
    </xf>
    <xf numFmtId="167" fontId="3" fillId="0" borderId="0" pivotButton="0" quotePrefix="0" xfId="1"/>
    <xf numFmtId="167" fontId="4" fillId="0" borderId="0" pivotButton="0" quotePrefix="0" xfId="1"/>
    <xf numFmtId="9" fontId="10" fillId="0" borderId="0" pivotButton="0" quotePrefix="0" xfId="1"/>
    <xf numFmtId="3" fontId="26" fillId="0" borderId="0" pivotButton="0" quotePrefix="0" xfId="1"/>
    <xf numFmtId="0" fontId="4" fillId="14" borderId="0" pivotButton="0" quotePrefix="0" xfId="1"/>
    <xf numFmtId="0" fontId="4" fillId="14" borderId="4" applyAlignment="1" pivotButton="0" quotePrefix="0" xfId="1">
      <alignment horizontal="center" vertical="center"/>
    </xf>
    <xf numFmtId="14" fontId="12" fillId="14" borderId="0" pivotButton="0" quotePrefix="0" xfId="1"/>
    <xf numFmtId="14" fontId="12" fillId="14" borderId="26" pivotButton="0" quotePrefix="0" xfId="1"/>
    <xf numFmtId="0" fontId="3" fillId="14" borderId="0" pivotButton="0" quotePrefix="0" xfId="1"/>
    <xf numFmtId="14" fontId="12" fillId="14" borderId="4" pivotButton="0" quotePrefix="0" xfId="1"/>
    <xf numFmtId="4" fontId="12" fillId="14" borderId="0" pivotButton="0" quotePrefix="0" xfId="1"/>
    <xf numFmtId="0" fontId="4" fillId="14" borderId="15" pivotButton="0" quotePrefix="0" xfId="1"/>
    <xf numFmtId="9" fontId="28" fillId="0" borderId="0" pivotButton="0" quotePrefix="0" xfId="4"/>
    <xf numFmtId="165" fontId="31" fillId="0" borderId="0" pivotButton="0" quotePrefix="0" xfId="4"/>
    <xf numFmtId="3" fontId="3" fillId="6" borderId="20" pivotButton="0" quotePrefix="0" xfId="1"/>
    <xf numFmtId="3" fontId="3" fillId="6" borderId="12" pivotButton="0" quotePrefix="0" xfId="1"/>
    <xf numFmtId="3" fontId="4" fillId="0" borderId="4" applyAlignment="1" pivotButton="0" quotePrefix="0" xfId="1">
      <alignment horizontal="center" vertical="center"/>
    </xf>
    <xf numFmtId="3" fontId="4" fillId="0" borderId="15" applyAlignment="1" pivotButton="0" quotePrefix="0" xfId="1">
      <alignment horizontal="right"/>
    </xf>
    <xf numFmtId="3" fontId="17" fillId="0" borderId="4" pivotButton="0" quotePrefix="0" xfId="1"/>
    <xf numFmtId="3" fontId="4" fillId="0" borderId="15" applyAlignment="1" pivotButton="0" quotePrefix="0" xfId="1">
      <alignment horizontal="right" vertical="center"/>
    </xf>
    <xf numFmtId="0" fontId="23" fillId="0" borderId="4" pivotButton="0" quotePrefix="0" xfId="1"/>
    <xf numFmtId="4" fontId="8" fillId="0" borderId="0" pivotButton="0" quotePrefix="0" xfId="1"/>
    <xf numFmtId="0" fontId="24" fillId="0" borderId="4" applyAlignment="1" pivotButton="0" quotePrefix="0" xfId="1">
      <alignment horizontal="center" vertical="center"/>
    </xf>
    <xf numFmtId="4" fontId="24" fillId="0" borderId="0" applyAlignment="1" pivotButton="0" quotePrefix="0" xfId="1">
      <alignment horizontal="right"/>
    </xf>
    <xf numFmtId="4" fontId="24" fillId="0" borderId="0" pivotButton="0" quotePrefix="0" xfId="1"/>
    <xf numFmtId="14" fontId="25" fillId="0" borderId="4" pivotButton="0" quotePrefix="0" xfId="1"/>
    <xf numFmtId="14" fontId="24" fillId="0" borderId="0" pivotButton="0" quotePrefix="0" xfId="1"/>
    <xf numFmtId="4" fontId="25" fillId="0" borderId="26" pivotButton="0" quotePrefix="0" xfId="1"/>
    <xf numFmtId="4" fontId="25" fillId="0" borderId="0" pivotButton="0" quotePrefix="0" xfId="1"/>
    <xf numFmtId="14" fontId="25" fillId="0" borderId="0" pivotButton="0" quotePrefix="0" xfId="1"/>
    <xf numFmtId="14" fontId="25" fillId="0" borderId="26" pivotButton="0" quotePrefix="0" xfId="1"/>
    <xf numFmtId="4" fontId="24" fillId="0" borderId="24" pivotButton="0" quotePrefix="0" xfId="1"/>
    <xf numFmtId="4" fontId="24" fillId="0" borderId="15" pivotButton="0" quotePrefix="0" xfId="1"/>
    <xf numFmtId="0" fontId="24" fillId="0" borderId="16" pivotButton="0" quotePrefix="0" xfId="1"/>
    <xf numFmtId="0" fontId="24" fillId="0" borderId="0" pivotButton="0" quotePrefix="0" xfId="1"/>
    <xf numFmtId="4" fontId="24" fillId="0" borderId="16" pivotButton="0" quotePrefix="0" xfId="1"/>
    <xf numFmtId="4" fontId="24" fillId="0" borderId="0" pivotButton="0" quotePrefix="0" xfId="0"/>
    <xf numFmtId="3" fontId="4" fillId="14" borderId="18" pivotButton="0" quotePrefix="0" xfId="1"/>
    <xf numFmtId="165" fontId="10" fillId="15" borderId="26" pivotButton="0" quotePrefix="0" xfId="1"/>
    <xf numFmtId="3" fontId="4" fillId="14" borderId="15" pivotButton="0" quotePrefix="0" xfId="1"/>
    <xf numFmtId="165" fontId="10" fillId="14" borderId="0" pivotButton="0" quotePrefix="0" xfId="1"/>
    <xf numFmtId="0" fontId="4" fillId="14" borderId="4" applyAlignment="1" pivotButton="0" quotePrefix="0" xfId="1">
      <alignment horizontal="left" vertical="center"/>
    </xf>
    <xf numFmtId="3" fontId="4" fillId="14" borderId="0" pivotButton="0" quotePrefix="0" xfId="1"/>
    <xf numFmtId="9" fontId="4" fillId="14" borderId="0" pivotButton="0" quotePrefix="0" xfId="4"/>
    <xf numFmtId="14" fontId="12" fillId="14" borderId="4" applyAlignment="1" pivotButton="0" quotePrefix="0" xfId="1">
      <alignment horizontal="right"/>
    </xf>
    <xf numFmtId="14" fontId="12" fillId="14" borderId="0" applyAlignment="1" pivotButton="0" quotePrefix="0" xfId="1">
      <alignment horizontal="right"/>
    </xf>
    <xf numFmtId="14" fontId="12" fillId="14" borderId="26" applyAlignment="1" pivotButton="0" quotePrefix="0" xfId="1">
      <alignment horizontal="right"/>
    </xf>
    <xf numFmtId="4" fontId="4" fillId="14" borderId="40" pivotButton="0" quotePrefix="0" xfId="1"/>
    <xf numFmtId="3" fontId="4" fillId="14" borderId="16" pivotButton="0" quotePrefix="0" xfId="1"/>
    <xf numFmtId="3" fontId="4" fillId="14" borderId="26" pivotButton="0" quotePrefix="0" xfId="1"/>
    <xf numFmtId="3" fontId="4" fillId="14" borderId="0" pivotButton="0" quotePrefix="0" xfId="0"/>
    <xf numFmtId="164" fontId="4" fillId="0" borderId="24" pivotButton="0" quotePrefix="0" xfId="3"/>
    <xf numFmtId="4" fontId="4" fillId="14" borderId="24" pivotButton="0" quotePrefix="0" xfId="1"/>
    <xf numFmtId="3" fontId="32" fillId="0" borderId="15" pivotButton="0" quotePrefix="0" xfId="0"/>
    <xf numFmtId="3" fontId="32" fillId="0" borderId="40" pivotButton="0" quotePrefix="0" xfId="0"/>
    <xf numFmtId="3" fontId="32" fillId="0" borderId="26" pivotButton="0" quotePrefix="0" xfId="0"/>
    <xf numFmtId="3" fontId="33" fillId="0" borderId="40" pivotButton="0" quotePrefix="0" xfId="0"/>
    <xf numFmtId="3" fontId="32" fillId="0" borderId="18" pivotButton="0" quotePrefix="0" xfId="0"/>
    <xf numFmtId="3" fontId="33" fillId="0" borderId="15" pivotButton="0" quotePrefix="0" xfId="0"/>
    <xf numFmtId="165" fontId="10" fillId="15" borderId="0" pivotButton="0" quotePrefix="0" xfId="4"/>
    <xf numFmtId="167" fontId="3" fillId="0" borderId="24" pivotButton="0" quotePrefix="0" xfId="1"/>
    <xf numFmtId="167" fontId="3" fillId="0" borderId="40" pivotButton="0" quotePrefix="0" xfId="1"/>
    <xf numFmtId="167" fontId="3" fillId="0" borderId="15" pivotButton="0" quotePrefix="0" xfId="1"/>
    <xf numFmtId="3" fontId="4" fillId="0" borderId="15" applyAlignment="1" pivotButton="0" quotePrefix="0" xfId="1">
      <alignment vertical="center" wrapText="1"/>
    </xf>
    <xf numFmtId="10" fontId="3" fillId="0" borderId="15" pivotButton="0" quotePrefix="0" xfId="1"/>
    <xf numFmtId="10" fontId="3" fillId="0" borderId="16" pivotButton="0" quotePrefix="0" xfId="1"/>
    <xf numFmtId="0" fontId="4" fillId="0" borderId="45" applyAlignment="1" pivotButton="0" quotePrefix="0" xfId="1">
      <alignment horizontal="left" vertical="center"/>
    </xf>
    <xf numFmtId="14" fontId="12" fillId="0" borderId="15" pivotButton="0" quotePrefix="0" xfId="1"/>
    <xf numFmtId="3" fontId="28" fillId="0" borderId="15" pivotButton="0" quotePrefix="0" xfId="1"/>
    <xf numFmtId="14" fontId="4" fillId="0" borderId="15" pivotButton="0" quotePrefix="0" xfId="1"/>
    <xf numFmtId="0" fontId="28" fillId="0" borderId="4" applyAlignment="1" pivotButton="0" quotePrefix="0" xfId="1">
      <alignment horizontal="left" vertical="center"/>
    </xf>
    <xf numFmtId="0" fontId="29" fillId="0" borderId="0" pivotButton="0" quotePrefix="0" xfId="1"/>
    <xf numFmtId="0" fontId="28" fillId="0" borderId="4" applyAlignment="1" pivotButton="0" quotePrefix="0" xfId="1">
      <alignment horizontal="center" vertical="center"/>
    </xf>
    <xf numFmtId="3" fontId="28" fillId="0" borderId="40" pivotButton="0" quotePrefix="0" xfId="1"/>
    <xf numFmtId="3" fontId="28" fillId="0" borderId="16" pivotButton="0" quotePrefix="0" xfId="1"/>
    <xf numFmtId="3" fontId="28" fillId="0" borderId="0" pivotButton="0" quotePrefix="0" xfId="1"/>
    <xf numFmtId="3" fontId="28" fillId="0" borderId="0" pivotButton="0" quotePrefix="0" xfId="0"/>
    <xf numFmtId="14" fontId="30" fillId="0" borderId="4" pivotButton="0" quotePrefix="0" xfId="1"/>
    <xf numFmtId="165" fontId="31" fillId="0" borderId="26" pivotButton="0" quotePrefix="0" xfId="1"/>
    <xf numFmtId="14" fontId="30" fillId="0" borderId="4" applyAlignment="1" pivotButton="0" quotePrefix="0" xfId="1">
      <alignment horizontal="right"/>
    </xf>
    <xf numFmtId="14" fontId="30" fillId="0" borderId="0" applyAlignment="1" pivotButton="0" quotePrefix="0" xfId="1">
      <alignment horizontal="right"/>
    </xf>
    <xf numFmtId="14" fontId="30" fillId="0" borderId="26" applyAlignment="1" pivotButton="0" quotePrefix="0" xfId="1">
      <alignment horizontal="right"/>
    </xf>
    <xf numFmtId="4" fontId="30" fillId="0" borderId="0" pivotButton="0" quotePrefix="0" xfId="1"/>
    <xf numFmtId="0" fontId="28" fillId="0" borderId="24" pivotButton="0" quotePrefix="0" xfId="1"/>
    <xf numFmtId="0" fontId="28" fillId="0" borderId="16" pivotButton="0" quotePrefix="0" xfId="1"/>
    <xf numFmtId="0" fontId="28" fillId="0" borderId="0" pivotButton="0" quotePrefix="0" xfId="1"/>
    <xf numFmtId="4" fontId="28" fillId="0" borderId="24" pivotButton="0" quotePrefix="0" xfId="1"/>
    <xf numFmtId="4" fontId="28" fillId="0" borderId="40" pivotButton="0" quotePrefix="0" xfId="1"/>
    <xf numFmtId="0" fontId="28" fillId="0" borderId="15" pivotButton="0" quotePrefix="0" xfId="1"/>
    <xf numFmtId="10" fontId="12" fillId="14" borderId="0" pivotButton="0" quotePrefix="0" xfId="1"/>
    <xf numFmtId="10" fontId="3" fillId="14" borderId="0" pivotButton="0" quotePrefix="0" xfId="1"/>
    <xf numFmtId="164" fontId="4" fillId="14" borderId="0" pivotButton="0" quotePrefix="0" xfId="3"/>
    <xf numFmtId="0" fontId="4" fillId="14" borderId="45" pivotButton="0" quotePrefix="0" xfId="1"/>
    <xf numFmtId="3" fontId="4" fillId="14" borderId="0" applyAlignment="1" pivotButton="0" quotePrefix="0" xfId="1">
      <alignment horizontal="center" vertical="center"/>
    </xf>
    <xf numFmtId="9" fontId="4" fillId="14" borderId="0" pivotButton="0" quotePrefix="0" xfId="1"/>
    <xf numFmtId="3" fontId="32" fillId="0" borderId="16" pivotButton="0" quotePrefix="0" xfId="0"/>
    <xf numFmtId="3" fontId="32" fillId="0" borderId="0" pivotButton="0" quotePrefix="0" xfId="0"/>
    <xf numFmtId="10" fontId="3" fillId="0" borderId="24" pivotButton="0" quotePrefix="0" xfId="1"/>
    <xf numFmtId="10" fontId="3" fillId="0" borderId="55" pivotButton="0" quotePrefix="0" xfId="1"/>
    <xf numFmtId="10" fontId="4" fillId="0" borderId="15" pivotButton="0" quotePrefix="0" xfId="1"/>
    <xf numFmtId="10" fontId="4" fillId="0" borderId="16" pivotButton="0" quotePrefix="0" xfId="1"/>
    <xf numFmtId="10" fontId="3" fillId="0" borderId="53" pivotButton="0" quotePrefix="0" xfId="1"/>
    <xf numFmtId="10" fontId="4" fillId="0" borderId="24" pivotButton="0" quotePrefix="0" xfId="1"/>
    <xf numFmtId="167" fontId="3" fillId="0" borderId="4" pivotButton="0" quotePrefix="0" xfId="1"/>
    <xf numFmtId="167" fontId="3" fillId="0" borderId="21" pivotButton="0" quotePrefix="0" xfId="1"/>
    <xf numFmtId="164" fontId="4" fillId="0" borderId="40" pivotButton="0" quotePrefix="0" xfId="3"/>
    <xf numFmtId="10" fontId="4" fillId="0" borderId="40" pivotButton="0" quotePrefix="0" xfId="1"/>
    <xf numFmtId="167" fontId="3" fillId="0" borderId="22" pivotButton="0" quotePrefix="0" xfId="1"/>
    <xf numFmtId="164" fontId="4" fillId="0" borderId="15" pivotButton="0" quotePrefix="0" xfId="3"/>
    <xf numFmtId="10" fontId="3" fillId="0" borderId="40" pivotButton="0" quotePrefix="0" xfId="1"/>
    <xf numFmtId="167" fontId="4" fillId="0" borderId="22" pivotButton="0" quotePrefix="0" xfId="1"/>
    <xf numFmtId="164" fontId="4" fillId="0" borderId="18" pivotButton="0" quotePrefix="0" xfId="3"/>
    <xf numFmtId="164" fontId="4" fillId="0" borderId="16" pivotButton="0" quotePrefix="0" xfId="3"/>
    <xf numFmtId="167" fontId="3" fillId="0" borderId="16" pivotButton="0" quotePrefix="0" xfId="1"/>
    <xf numFmtId="167" fontId="3" fillId="0" borderId="26" pivotButton="0" quotePrefix="0" xfId="1"/>
    <xf numFmtId="167" fontId="3" fillId="0" borderId="23" pivotButton="0" quotePrefix="0" xfId="1"/>
    <xf numFmtId="0" fontId="4" fillId="14" borderId="26" pivotButton="0" quotePrefix="0" xfId="1"/>
    <xf numFmtId="165" fontId="10" fillId="14" borderId="26" pivotButton="0" quotePrefix="0" xfId="4"/>
    <xf numFmtId="165" fontId="10" fillId="14" borderId="0" pivotButton="0" quotePrefix="0" xfId="4"/>
    <xf numFmtId="164" fontId="4" fillId="14" borderId="4" pivotButton="0" quotePrefix="0" xfId="3"/>
    <xf numFmtId="10" fontId="4" fillId="14" borderId="0" pivotButton="0" quotePrefix="0" xfId="1"/>
    <xf numFmtId="10" fontId="4" fillId="14" borderId="26" pivotButton="0" quotePrefix="0" xfId="1"/>
    <xf numFmtId="164" fontId="4" fillId="14" borderId="26" pivotButton="0" quotePrefix="0" xfId="3"/>
    <xf numFmtId="167" fontId="4" fillId="0" borderId="16" pivotButton="0" quotePrefix="0" xfId="1"/>
    <xf numFmtId="167" fontId="3" fillId="0" borderId="18" pivotButton="0" quotePrefix="0" xfId="1"/>
    <xf numFmtId="3" fontId="4" fillId="0" borderId="4" applyAlignment="1" pivotButton="0" quotePrefix="0" xfId="1">
      <alignment wrapText="1"/>
    </xf>
    <xf numFmtId="0" fontId="21" fillId="0" borderId="4" pivotButton="0" quotePrefix="0" xfId="1"/>
    <xf numFmtId="4" fontId="27" fillId="0" borderId="0" pivotButton="0" quotePrefix="0" xfId="1"/>
    <xf numFmtId="0" fontId="26" fillId="0" borderId="4" applyAlignment="1" pivotButton="0" quotePrefix="0" xfId="1">
      <alignment horizontal="center" vertical="center"/>
    </xf>
    <xf numFmtId="3" fontId="26" fillId="0" borderId="15" pivotButton="0" quotePrefix="0" xfId="1"/>
    <xf numFmtId="4" fontId="26" fillId="0" borderId="15" pivotButton="0" quotePrefix="0" xfId="1"/>
    <xf numFmtId="4" fontId="26" fillId="0" borderId="16" pivotButton="0" quotePrefix="0" xfId="1"/>
    <xf numFmtId="4" fontId="26" fillId="0" borderId="0" pivotButton="0" quotePrefix="0" xfId="1"/>
    <xf numFmtId="4" fontId="26" fillId="0" borderId="0" pivotButton="0" quotePrefix="0" xfId="0"/>
    <xf numFmtId="14" fontId="22" fillId="0" borderId="4" pivotButton="0" quotePrefix="0" xfId="1"/>
    <xf numFmtId="14" fontId="26" fillId="0" borderId="0" pivotButton="0" quotePrefix="0" xfId="1"/>
    <xf numFmtId="4" fontId="22" fillId="0" borderId="26" pivotButton="0" quotePrefix="0" xfId="1"/>
    <xf numFmtId="4" fontId="22" fillId="0" borderId="0" pivotButton="0" quotePrefix="0" xfId="1"/>
    <xf numFmtId="14" fontId="22" fillId="0" borderId="0" pivotButton="0" quotePrefix="0" xfId="1"/>
    <xf numFmtId="14" fontId="22" fillId="0" borderId="26" pivotButton="0" quotePrefix="0" xfId="1"/>
    <xf numFmtId="0" fontId="26" fillId="0" borderId="24" pivotButton="0" quotePrefix="0" xfId="1"/>
    <xf numFmtId="3" fontId="26" fillId="0" borderId="13" pivotButton="0" quotePrefix="0" xfId="1"/>
    <xf numFmtId="0" fontId="26" fillId="0" borderId="15" pivotButton="0" quotePrefix="0" xfId="1"/>
    <xf numFmtId="0" fontId="26" fillId="0" borderId="16" pivotButton="0" quotePrefix="0" xfId="1"/>
    <xf numFmtId="0" fontId="26" fillId="0" borderId="0" pivotButton="0" quotePrefix="0" xfId="1"/>
    <xf numFmtId="0" fontId="26" fillId="0" borderId="18" pivotButton="0" quotePrefix="0" xfId="1"/>
    <xf numFmtId="3" fontId="4" fillId="0" borderId="25" pivotButton="0" quotePrefix="0" xfId="1"/>
    <xf numFmtId="3" fontId="0" fillId="0" borderId="0" pivotButton="0" quotePrefix="0" xfId="0"/>
    <xf numFmtId="0" fontId="35" fillId="0" borderId="0" pivotButton="0" quotePrefix="0" xfId="0"/>
    <xf numFmtId="0" fontId="38" fillId="17" borderId="62" applyAlignment="1" pivotButton="0" quotePrefix="0" xfId="0">
      <alignment horizontal="center" vertical="center"/>
    </xf>
    <xf numFmtId="0" fontId="0" fillId="0" borderId="62" pivotButton="0" quotePrefix="0" xfId="0"/>
    <xf numFmtId="3" fontId="0" fillId="0" borderId="62" pivotButton="0" quotePrefix="0" xfId="0"/>
    <xf numFmtId="165" fontId="0" fillId="0" borderId="62" pivotButton="0" quotePrefix="0" xfId="0"/>
    <xf numFmtId="168" fontId="0" fillId="0" borderId="62" pivotButton="0" quotePrefix="0" xfId="0"/>
    <xf numFmtId="14" fontId="48" fillId="0" borderId="11" applyAlignment="1" pivotButton="0" quotePrefix="0" xfId="0">
      <alignment horizontal="left"/>
    </xf>
    <xf numFmtId="2" fontId="48" fillId="0" borderId="27" applyAlignment="1" pivotButton="0" quotePrefix="0" xfId="0">
      <alignment horizontal="center" vertical="center"/>
    </xf>
    <xf numFmtId="2" fontId="48" fillId="0" borderId="11" applyAlignment="1" pivotButton="0" quotePrefix="0" xfId="0">
      <alignment horizontal="center" vertical="center"/>
    </xf>
    <xf numFmtId="0" fontId="47" fillId="0" borderId="0" pivotButton="0" quotePrefix="0" xfId="0"/>
    <xf numFmtId="10" fontId="49" fillId="0" borderId="0" pivotButton="0" quotePrefix="0" xfId="1"/>
    <xf numFmtId="3" fontId="47" fillId="0" borderId="16" pivotButton="0" quotePrefix="0" xfId="1"/>
    <xf numFmtId="3" fontId="47" fillId="0" borderId="0" pivotButton="0" quotePrefix="0" xfId="1"/>
    <xf numFmtId="3" fontId="47" fillId="0" borderId="4" pivotButton="0" quotePrefix="0" xfId="1"/>
    <xf numFmtId="3" fontId="47" fillId="0" borderId="15" pivotButton="0" quotePrefix="0" xfId="1"/>
    <xf numFmtId="3" fontId="47" fillId="0" borderId="26" pivotButton="0" quotePrefix="0" xfId="1"/>
    <xf numFmtId="0" fontId="47" fillId="0" borderId="0" applyAlignment="1" pivotButton="0" quotePrefix="0" xfId="1">
      <alignment horizontal="left" vertical="center"/>
    </xf>
    <xf numFmtId="3" fontId="47" fillId="0" borderId="40" pivotButton="0" quotePrefix="0" xfId="1"/>
    <xf numFmtId="3" fontId="47" fillId="0" borderId="13" pivotButton="0" quotePrefix="0" xfId="1"/>
    <xf numFmtId="3" fontId="47" fillId="0" borderId="53" pivotButton="0" quotePrefix="0" xfId="1"/>
    <xf numFmtId="14" fontId="47" fillId="0" borderId="0" pivotButton="0" quotePrefix="0" xfId="1"/>
    <xf numFmtId="4" fontId="47" fillId="0" borderId="0" pivotButton="0" quotePrefix="0" xfId="0"/>
    <xf numFmtId="14" fontId="49" fillId="0" borderId="4" pivotButton="0" quotePrefix="0" xfId="1"/>
    <xf numFmtId="0" fontId="0" fillId="0" borderId="0" pivotButton="0" quotePrefix="0" xfId="0"/>
    <xf numFmtId="0" fontId="36" fillId="16" borderId="0" applyAlignment="1" pivotButton="0" quotePrefix="0" xfId="0">
      <alignment horizontal="center"/>
    </xf>
    <xf numFmtId="0" fontId="37" fillId="0" borderId="0" pivotButton="0" quotePrefix="0" xfId="0"/>
    <xf numFmtId="0" fontId="36" fillId="18" borderId="0" applyAlignment="1" pivotButton="0" quotePrefix="0" xfId="0">
      <alignment horizontal="center"/>
    </xf>
    <xf numFmtId="0" fontId="9" fillId="0" borderId="35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61" pivotButton="0" quotePrefix="0" xfId="0"/>
    <xf numFmtId="2" fontId="3" fillId="4" borderId="32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2" fontId="3" fillId="5" borderId="10" applyAlignment="1" pivotButton="0" quotePrefix="0" xfId="1">
      <alignment horizontal="center" vertical="center"/>
    </xf>
    <xf numFmtId="2" fontId="3" fillId="0" borderId="21" applyAlignment="1" pivotButton="0" quotePrefix="0" xfId="1">
      <alignment horizontal="center" vertical="center"/>
    </xf>
    <xf numFmtId="0" fontId="0" fillId="0" borderId="4" pivotButton="0" quotePrefix="0" xfId="0"/>
    <xf numFmtId="0" fontId="4" fillId="0" borderId="0" pivotButton="0" quotePrefix="0" xfId="1"/>
    <xf numFmtId="2" fontId="34" fillId="3" borderId="10" applyAlignment="1" pivotButton="0" quotePrefix="0" xfId="1">
      <alignment horizontal="center" vertical="center"/>
    </xf>
    <xf numFmtId="0" fontId="0" fillId="0" borderId="11" pivotButton="0" quotePrefix="0" xfId="0"/>
    <xf numFmtId="2" fontId="3" fillId="7" borderId="21" applyAlignment="1" pivotButton="0" quotePrefix="0" xfId="1">
      <alignment horizontal="center" vertical="center"/>
    </xf>
    <xf numFmtId="0" fontId="39" fillId="19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40" fillId="20" borderId="0" applyAlignment="1" pivotButton="0" quotePrefix="0" xfId="0">
      <alignment horizontal="center"/>
    </xf>
    <xf numFmtId="0" fontId="46" fillId="25" borderId="87" applyAlignment="1" pivotButton="0" quotePrefix="0" xfId="0">
      <alignment horizontal="center" vertical="center"/>
    </xf>
    <xf numFmtId="0" fontId="0" fillId="0" borderId="88" pivotButton="0" quotePrefix="0" xfId="0"/>
    <xf numFmtId="0" fontId="0" fillId="0" borderId="89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92" pivotButton="0" quotePrefix="0" xfId="0"/>
    <xf numFmtId="3" fontId="41" fillId="21" borderId="63" applyAlignment="1" pivotButton="0" quotePrefix="0" xfId="0">
      <alignment horizontal="center" vertical="center" wrapText="1"/>
    </xf>
    <xf numFmtId="0" fontId="0" fillId="0" borderId="80" pivotButton="0" quotePrefix="0" xfId="0"/>
    <xf numFmtId="0" fontId="0" fillId="0" borderId="82" pivotButton="0" quotePrefix="0" xfId="0"/>
    <xf numFmtId="0" fontId="0" fillId="0" borderId="81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42" fillId="22" borderId="0" applyAlignment="1" pivotButton="0" quotePrefix="0" xfId="0">
      <alignment horizontal="center"/>
    </xf>
    <xf numFmtId="0" fontId="43" fillId="23" borderId="64" applyAlignment="1" pivotButton="0" quotePrefix="0" xfId="0">
      <alignment horizontal="center" vertical="center"/>
    </xf>
    <xf numFmtId="0" fontId="0" fillId="0" borderId="66" pivotButton="0" quotePrefix="0" xfId="0"/>
    <xf numFmtId="0" fontId="0" fillId="0" borderId="68" pivotButton="0" quotePrefix="0" xfId="0"/>
    <xf numFmtId="0" fontId="0" fillId="0" borderId="67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0" fontId="44" fillId="24" borderId="65" applyAlignment="1" pivotButton="0" quotePrefix="0" xfId="0">
      <alignment vertical="top" wrapText="1"/>
    </xf>
    <xf numFmtId="0" fontId="0" fillId="0" borderId="73" pivotButton="0" quotePrefix="0" xfId="0"/>
    <xf numFmtId="0" fontId="0" fillId="0" borderId="75" pivotButton="0" quotePrefix="0" xfId="0"/>
    <xf numFmtId="0" fontId="0" fillId="0" borderId="74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45" fillId="0" borderId="0" applyAlignment="1" pivotButton="0" quotePrefix="0" xfId="0">
      <alignment horizontal="center"/>
    </xf>
    <xf numFmtId="165" fontId="0" fillId="0" borderId="62" pivotButton="0" quotePrefix="0" xfId="0"/>
    <xf numFmtId="168" fontId="0" fillId="0" borderId="62" pivotButton="0" quotePrefix="0" xfId="0"/>
    <xf numFmtId="165" fontId="4" fillId="12" borderId="49" applyAlignment="1" pivotButton="0" quotePrefix="0" xfId="1">
      <alignment horizontal="center" vertical="center"/>
    </xf>
    <xf numFmtId="165" fontId="10" fillId="0" borderId="26" pivotButton="0" quotePrefix="0" xfId="4"/>
    <xf numFmtId="165" fontId="10" fillId="0" borderId="0" pivotButton="0" quotePrefix="0" xfId="4"/>
    <xf numFmtId="164" fontId="12" fillId="0" borderId="0" pivotButton="0" quotePrefix="0" xfId="3"/>
    <xf numFmtId="164" fontId="4" fillId="0" borderId="4" pivotButton="0" quotePrefix="0" xfId="3"/>
    <xf numFmtId="167" fontId="3" fillId="0" borderId="4" pivotButton="0" quotePrefix="0" xfId="1"/>
    <xf numFmtId="167" fontId="3" fillId="0" borderId="0" pivotButton="0" quotePrefix="0" xfId="1"/>
    <xf numFmtId="167" fontId="3" fillId="0" borderId="26" pivotButton="0" quotePrefix="0" xfId="1"/>
    <xf numFmtId="164" fontId="4" fillId="0" borderId="0" pivotButton="0" quotePrefix="0" xfId="3"/>
    <xf numFmtId="164" fontId="4" fillId="0" borderId="26" pivotButton="0" quotePrefix="0" xfId="3"/>
    <xf numFmtId="165" fontId="10" fillId="0" borderId="26" pivotButton="0" quotePrefix="0" xfId="1"/>
    <xf numFmtId="167" fontId="4" fillId="0" borderId="0" pivotButton="0" quotePrefix="0" xfId="1"/>
    <xf numFmtId="165" fontId="10" fillId="15" borderId="26" pivotButton="0" quotePrefix="0" xfId="1"/>
    <xf numFmtId="164" fontId="4" fillId="0" borderId="59" pivotButton="0" quotePrefix="0" xfId="3"/>
    <xf numFmtId="167" fontId="3" fillId="0" borderId="21" pivotButton="0" quotePrefix="0" xfId="1"/>
    <xf numFmtId="167" fontId="3" fillId="0" borderId="22" pivotButton="0" quotePrefix="0" xfId="1"/>
    <xf numFmtId="167" fontId="4" fillId="0" borderId="22" pivotButton="0" quotePrefix="0" xfId="1"/>
    <xf numFmtId="167" fontId="3" fillId="0" borderId="23" pivotButton="0" quotePrefix="0" xfId="1"/>
    <xf numFmtId="165" fontId="10" fillId="0" borderId="0" pivotButton="0" quotePrefix="0" xfId="1"/>
    <xf numFmtId="164" fontId="4" fillId="0" borderId="24" pivotButton="0" quotePrefix="0" xfId="3"/>
    <xf numFmtId="164" fontId="4" fillId="0" borderId="15" pivotButton="0" quotePrefix="0" xfId="3"/>
    <xf numFmtId="164" fontId="4" fillId="0" borderId="18" pivotButton="0" quotePrefix="0" xfId="3"/>
    <xf numFmtId="164" fontId="4" fillId="0" borderId="16" pivotButton="0" quotePrefix="0" xfId="3"/>
    <xf numFmtId="167" fontId="3" fillId="0" borderId="24" pivotButton="0" quotePrefix="0" xfId="1"/>
    <xf numFmtId="167" fontId="3" fillId="0" borderId="40" pivotButton="0" quotePrefix="0" xfId="1"/>
    <xf numFmtId="167" fontId="3" fillId="0" borderId="15" pivotButton="0" quotePrefix="0" xfId="1"/>
    <xf numFmtId="167" fontId="3" fillId="0" borderId="16" pivotButton="0" quotePrefix="0" xfId="1"/>
    <xf numFmtId="164" fontId="4" fillId="0" borderId="40" pivotButton="0" quotePrefix="0" xfId="3"/>
    <xf numFmtId="166" fontId="12" fillId="0" borderId="0" pivotButton="0" quotePrefix="0" xfId="1"/>
    <xf numFmtId="164" fontId="4" fillId="0" borderId="49" pivotButton="0" quotePrefix="0" xfId="3"/>
    <xf numFmtId="165" fontId="4" fillId="0" borderId="0" pivotButton="0" quotePrefix="0" xfId="4"/>
    <xf numFmtId="165" fontId="10" fillId="14" borderId="26" pivotButton="0" quotePrefix="0" xfId="4"/>
    <xf numFmtId="165" fontId="10" fillId="14" borderId="0" pivotButton="0" quotePrefix="0" xfId="4"/>
    <xf numFmtId="164" fontId="4" fillId="14" borderId="4" pivotButton="0" quotePrefix="0" xfId="3"/>
    <xf numFmtId="164" fontId="4" fillId="14" borderId="0" pivotButton="0" quotePrefix="0" xfId="3"/>
    <xf numFmtId="164" fontId="4" fillId="14" borderId="26" pivotButton="0" quotePrefix="0" xfId="3"/>
    <xf numFmtId="165" fontId="10" fillId="14" borderId="0" pivotButton="0" quotePrefix="0" xfId="1"/>
    <xf numFmtId="165" fontId="10" fillId="15" borderId="0" pivotButton="0" quotePrefix="0" xfId="4"/>
    <xf numFmtId="167" fontId="4" fillId="0" borderId="16" pivotButton="0" quotePrefix="0" xfId="1"/>
    <xf numFmtId="167" fontId="3" fillId="0" borderId="18" pivotButton="0" quotePrefix="0" xfId="1"/>
    <xf numFmtId="165" fontId="31" fillId="0" borderId="26" pivotButton="0" quotePrefix="0" xfId="1"/>
    <xf numFmtId="165" fontId="31" fillId="0" borderId="0" pivotButton="0" quotePrefix="0" xfId="4"/>
    <xf numFmtId="167" fontId="4" fillId="0" borderId="0" pivotButton="0" quotePrefix="0" xfId="3"/>
    <xf numFmtId="165" fontId="3" fillId="5" borderId="0" applyAlignment="1" pivotButton="0" quotePrefix="0" xfId="4">
      <alignment horizontal="center" vertical="center"/>
    </xf>
  </cellXfs>
  <cellStyles count="6">
    <cellStyle name="Normal" xfId="0" builtinId="0"/>
    <cellStyle name="Normal 2" xfId="1"/>
    <cellStyle name="Normal 3" xfId="2"/>
    <cellStyle name="Milliers" xfId="3" builtinId="3"/>
    <cellStyle name="Pourcentage" xfId="4" builtinId="5"/>
    <cellStyle name="Normal 4" xfId="5"/>
  </cellStyles>
  <dxfs count="25"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strike val="1"/>
        <color rgb="FF808080"/>
      </font>
      <fill>
        <patternFill>
          <bgColor rgb="FFE6E6E6"/>
        </patternFill>
      </fill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>
                <a:solidFill>
                  <a:srgbClr val="0B235D"/>
                </a:solidFill>
              </a:defRPr>
            </a:pPr>
            <a:r>
              <a:rPr lang="fr-FR">
                <a:solidFill>
                  <a:srgbClr val="0B235D"/>
                </a:solidFill>
              </a:rPr>
              <a:t>CA et MB par annee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Analyse!$B$11</f>
              <strCache>
                <ptCount val="1"/>
                <pt idx="0">
                  <v>CA CHF</v>
                </pt>
              </strCache>
            </strRef>
          </tx>
          <spPr>
            <a:ln>
              <a:prstDash val="solid"/>
            </a:ln>
          </spPr>
          <invertIfNegative val="1"/>
          <cat>
            <numRef>
              <f>Analyse!$A$12:$A$20</f>
              <numCache>
                <formatCode>General</formatCode>
                <ptCount val="9"/>
                <pt idx="0">
                  <v>2024</v>
                </pt>
                <pt idx="1">
                  <v>2025</v>
                </pt>
                <pt idx="2">
                  <v>2026</v>
                </pt>
                <pt idx="3">
                  <v>2027</v>
                </pt>
                <pt idx="4">
                  <v>2028</v>
                </pt>
                <pt idx="5">
                  <v>2029</v>
                </pt>
                <pt idx="6">
                  <v>2030</v>
                </pt>
                <pt idx="7">
                  <v>2031</v>
                </pt>
                <pt idx="8">
                  <v>2032</v>
                </pt>
              </numCache>
            </numRef>
          </cat>
          <val>
            <numRef>
              <f>Analyse!$B$12:$B$20</f>
              <numCache>
                <formatCode>#,##0</formatCode>
                <ptCount val="9"/>
                <pt idx="0">
                  <v>0</v>
                </pt>
                <pt idx="1">
                  <v>0</v>
                </pt>
                <pt idx="2">
                  <v>100000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1"/>
          <order val="1"/>
          <tx>
            <strRef>
              <f>Analyse!$C$11</f>
              <strCache>
                <ptCount val="1"/>
                <pt idx="0">
                  <v>MB CHF</v>
                </pt>
              </strCache>
            </strRef>
          </tx>
          <spPr>
            <a:ln>
              <a:prstDash val="solid"/>
            </a:ln>
          </spPr>
          <invertIfNegative val="1"/>
          <cat>
            <numRef>
              <f>Analyse!$A$12:$A$20</f>
              <numCache>
                <formatCode>General</formatCode>
                <ptCount val="9"/>
                <pt idx="0">
                  <v>2024</v>
                </pt>
                <pt idx="1">
                  <v>2025</v>
                </pt>
                <pt idx="2">
                  <v>2026</v>
                </pt>
                <pt idx="3">
                  <v>2027</v>
                </pt>
                <pt idx="4">
                  <v>2028</v>
                </pt>
                <pt idx="5">
                  <v>2029</v>
                </pt>
                <pt idx="6">
                  <v>2030</v>
                </pt>
                <pt idx="7">
                  <v>2031</v>
                </pt>
                <pt idx="8">
                  <v>2032</v>
                </pt>
              </numCache>
            </numRef>
          </cat>
          <val>
            <numRef>
              <f>Analyse!$C$12:$C$20</f>
              <numCache>
                <formatCode>#,##0</formatCode>
                <ptCount val="9"/>
                <pt idx="0">
                  <v>0</v>
                </pt>
                <pt idx="1">
                  <v>0</v>
                </pt>
                <pt idx="2">
                  <v>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Annee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CHF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  <txPr>
        <a:bodyPr/>
        <a:lstStyle/>
        <a:p>
          <a:pPr>
            <a:defRPr>
              <a:solidFill>
                <a:srgbClr val="323232"/>
              </a:solidFill>
            </a:defRPr>
          </a:pPr>
          <a:r>
            <a:t/>
          </a:r>
          <a:endParaRPr lang="fr-FR"/>
        </a:p>
      </txPr>
    </legend>
    <plotVisOnly val="1"/>
    <dispBlanksAs val="gap"/>
  </chart>
  <spPr>
    <a:solidFill>
      <a:srgbClr val="FFFFFF"/>
    </a:solidFill>
    <a:ln>
      <a:solidFill>
        <a:srgbClr val="DDDDDD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>
                <a:solidFill>
                  <a:srgbClr val="0B235D"/>
                </a:solidFill>
              </a:defRPr>
            </a:pPr>
            <a:r>
              <a:rPr lang="fr-FR">
                <a:solidFill>
                  <a:srgbClr val="0B235D"/>
                </a:solidFill>
              </a:rPr>
              <a:t>CA par type d'adjudication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Analyse!$H$11</f>
              <strCache>
                <ptCount val="1"/>
                <pt idx="0">
                  <v>CA CHF</v>
                </pt>
              </strCache>
            </strRef>
          </tx>
          <spPr>
            <a:ln>
              <a:prstDash val="solid"/>
            </a:ln>
          </spPr>
          <cat>
            <strRef>
              <f>Analyse!$G$12:$G$16</f>
              <strCache>
                <ptCount val="5"/>
                <pt idx="0">
                  <v>Soumission</v>
                </pt>
                <pt idx="1">
                  <v>devis de gre a gres</v>
                </pt>
                <pt idx="2">
                  <v>devis mis en concurrence</v>
                </pt>
                <pt idx="3">
                  <v>devis concours etude</v>
                </pt>
                <pt idx="4">
                  <v>Plan de charge</v>
                </pt>
              </strCache>
            </strRef>
          </cat>
          <val>
            <numRef>
              <f>Analyse!$H$12:$H$16</f>
              <numCache>
                <formatCode>#,##0</formatCode>
                <ptCount val="5"/>
                <pt idx="0">
                  <v>100000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  <txPr>
        <a:bodyPr/>
        <a:lstStyle/>
        <a:p>
          <a:pPr>
            <a:defRPr>
              <a:solidFill>
                <a:srgbClr val="323232"/>
              </a:solidFill>
            </a:defRPr>
          </a:pPr>
          <a:r>
            <a:t/>
          </a:r>
          <a:endParaRPr lang="fr-FR"/>
        </a:p>
      </txPr>
    </legend>
    <plotVisOnly val="1"/>
    <dispBlanksAs val="gap"/>
  </chart>
  <spPr>
    <a:solidFill>
      <a:srgbClr val="FFFFFF"/>
    </a:solidFill>
    <a:ln>
      <a:solidFill>
        <a:srgbClr val="DDDDDD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>
                <a:solidFill>
                  <a:srgbClr val="0B235D"/>
                </a:solidFill>
              </a:defRPr>
            </a:pPr>
            <a:r>
              <a:rPr lang="fr-FR">
                <a:solidFill>
                  <a:srgbClr val="0B235D"/>
                </a:solidFill>
              </a:rPr>
              <a:t>CA par categorie d'ouvrage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Analyse!$K$11</f>
              <strCache>
                <ptCount val="1"/>
                <pt idx="0">
                  <v>CA CHF</v>
                </pt>
              </strCache>
            </strRef>
          </tx>
          <spPr>
            <a:ln>
              <a:prstDash val="solid"/>
            </a:ln>
          </spPr>
          <cat>
            <strRef>
              <f>Analyse!$J$12:$J$17</f>
              <strCache>
                <ptCount val="6"/>
                <pt idx="0">
                  <v>Jardin prive</v>
                </pt>
                <pt idx="1">
                  <v>Logement collectif</v>
                </pt>
                <pt idx="2">
                  <v>Espace public</v>
                </pt>
                <pt idx="3">
                  <v>Bureau-Entreprise</v>
                </pt>
                <pt idx="4">
                  <v>Organisation Internationale</v>
                </pt>
                <pt idx="5">
                  <v>Autre</v>
                </pt>
              </strCache>
            </strRef>
          </cat>
          <val>
            <numRef>
              <f>Analyse!$K$12:$K$17</f>
              <numCache>
                <formatCode>#,##0</formatCode>
                <ptCount val="6"/>
                <pt idx="0">
                  <v>100000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  <txPr>
        <a:bodyPr/>
        <a:lstStyle/>
        <a:p>
          <a:pPr>
            <a:defRPr>
              <a:solidFill>
                <a:srgbClr val="323232"/>
              </a:solidFill>
            </a:defRPr>
          </a:pPr>
          <a:r>
            <a:t/>
          </a:r>
          <a:endParaRPr lang="fr-FR"/>
        </a:p>
      </txPr>
    </legend>
    <plotVisOnly val="1"/>
    <dispBlanksAs val="gap"/>
  </chart>
  <spPr>
    <a:solidFill>
      <a:srgbClr val="FFFFFF"/>
    </a:solidFill>
    <a:ln>
      <a:solidFill>
        <a:srgbClr val="DDDDDD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repartition catégorie d'ouvrage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223354355615554"/>
          <y val="0.1570015558380553"/>
          <w val="0.5553291288768892"/>
          <h val="0.62892185891837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4"/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Récapitulatif!$AD$69:$AI$69</f>
              <strCache>
                <ptCount val="6"/>
                <pt idx="0">
                  <v>JARDIN PRIVE</v>
                </pt>
                <pt idx="1">
                  <v>LOGEMENTS COLLECTIFS</v>
                </pt>
                <pt idx="2">
                  <v>ESPACE PUBLIC</v>
                </pt>
                <pt idx="3">
                  <v>BUREAUX/ ENTREPRISES</v>
                </pt>
                <pt idx="4">
                  <v>ORG. INTERNATIONAUX</v>
                </pt>
                <pt idx="5">
                  <v>AUTRES</v>
                </pt>
              </strCache>
            </strRef>
          </cat>
          <val>
            <numRef>
              <f>Récapitulatif!$AD$130:$AI$130</f>
              <numCache>
                <formatCode>#,##0.00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Récapitulatif!$AD$69:$AI$69</f>
              <strCache>
                <ptCount val="6"/>
                <pt idx="0">
                  <v>JARDIN PRIVE</v>
                </pt>
                <pt idx="1">
                  <v>LOGEMENTS COLLECTIFS</v>
                </pt>
                <pt idx="2">
                  <v>ESPACE PUBLIC</v>
                </pt>
                <pt idx="3">
                  <v>BUREAUX/ ENTREPRISES</v>
                </pt>
                <pt idx="4">
                  <v>ORG. INTERNATIONAUX</v>
                </pt>
                <pt idx="5">
                  <v>AUTRES</v>
                </pt>
              </strCache>
            </strRef>
          </cat>
          <val>
            <numRef>
              <f>Récapitulatif!$AD$131:$AI$131</f>
              <numCache>
                <formatCode>0.00%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Jérémie Duval</author>
  </authors>
  <commentList>
    <comment ref="G14" authorId="0" shapeId="0">
      <text>
        <t xml:space="preserve">Jérémie Duval:
attention j'ai retraité l'entretien 5 ans </t>
      </text>
    </comment>
    <comment ref="G58" authorId="0" shapeId="0">
      <text>
        <t xml:space="preserve">Jérémie Duval:
attention j'ai retraité l'entretien 5 ans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absolute">
    <from>
      <col>0</col>
      <colOff>254000</colOff>
      <row>22</row>
      <rowOff>57150</rowOff>
    </from>
    <to>
      <col>5</col>
      <colOff>63500</colOff>
      <row>37</row>
      <rowOff>88900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twoCellAnchor>
  <twoCellAnchor editAs="absolute">
    <from>
      <col>5</col>
      <colOff>317500</colOff>
      <row>22</row>
      <rowOff>57150</rowOff>
    </from>
    <to>
      <col>9</col>
      <colOff>114300</colOff>
      <row>37</row>
      <rowOff>88900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twoCellAnchor>
  <twoCellAnchor editAs="absolute">
    <from>
      <col>0</col>
      <colOff>254000</colOff>
      <row>38</row>
      <rowOff>31750</rowOff>
    </from>
    <to>
      <col>5</col>
      <colOff>63500</colOff>
      <row>53</row>
      <rowOff>63500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38</col>
      <colOff>747688</colOff>
      <row>123</row>
      <rowOff>0</rowOff>
    </from>
    <to>
      <col>44</col>
      <colOff>602011</colOff>
      <row>134</row>
      <rowOff>103909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Affaires" displayName="tblAffaires" ref="A4:S504" headerRowCount="1" headerRowDxfId="24" dataDxfId="23" totalsRowDxfId="22">
  <autoFilter ref="A4:S504"/>
  <tableColumns count="19">
    <tableColumn id="1" name="ID" dataDxfId="21"/>
    <tableColumn id="2" name="Statut" dataDxfId="20"/>
    <tableColumn id="3" name="Nom affaire" dataDxfId="19"/>
    <tableColumn id="4" name="Code affaire" dataDxfId="18"/>
    <tableColumn id="5" name="Categorie affaire" dataDxfId="17"/>
    <tableColumn id="6" name="Categorie ouvrage" dataDxfId="16"/>
    <tableColumn id="7" name="Type adjudication" dataDxfId="15"/>
    <tableColumn id="8" name="Montant CHF" dataDxfId="14"/>
    <tableColumn id="9" name="Marge brute %" dataDxfId="13"/>
    <tableColumn id="10" name="Coefficient probabilite %" dataDxfId="12"/>
    <tableColumn id="11" name="Date debut" dataDxfId="11"/>
    <tableColumn id="12" name="Date fin" dataDxfId="10"/>
    <tableColumn id="13" name="Annee" dataDxfId="9"/>
    <tableColumn id="14" name="Trimestre" dataDxfId="8"/>
    <tableColumn id="15" name="Semestre" dataDxfId="7"/>
    <tableColumn id="16" name="CA pondere CHF" dataDxfId="6"/>
    <tableColumn id="17" name="MB CHF" dataDxfId="5"/>
    <tableColumn id="18" name="MB ponderee CHF" dataDxfId="4"/>
    <tableColumn id="19" name="Commentair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tabSelected="1" workbookViewId="0">
      <selection activeCell="A1" sqref="A1:L2"/>
    </sheetView>
  </sheetViews>
  <sheetFormatPr baseColWidth="10" defaultColWidth="8.7265625" defaultRowHeight="14.5"/>
  <cols>
    <col width="14" customWidth="1" style="520" min="1" max="12"/>
    <col width="8.7265625" customWidth="1" style="520" min="13" max="16384"/>
  </cols>
  <sheetData>
    <row r="1" ht="32" customHeight="1" s="520">
      <c r="A1" s="518" t="inlineStr">
        <is>
          <t>TABLEAU DE BORD COMITE DE DIRECTION</t>
        </is>
      </c>
    </row>
    <row r="2" ht="32" customHeight="1" s="520"/>
    <row r="3">
      <c r="A3" s="521" t="inlineStr">
        <is>
          <t>Suivi des affaires | Vision commerciale et marge | Exercice 2026</t>
        </is>
      </c>
    </row>
    <row r="4">
      <c r="J4" s="522" t="inlineStr">
        <is>
          <t>Changer le logo ici</t>
        </is>
      </c>
      <c r="K4" s="523" t="n"/>
      <c r="L4" s="524" t="n"/>
    </row>
    <row r="5">
      <c r="J5" s="525" t="n"/>
      <c r="K5" s="526" t="n"/>
      <c r="L5" s="527" t="n"/>
    </row>
    <row r="6" ht="24" customHeight="1" s="520">
      <c r="B6" s="528" t="inlineStr">
        <is>
          <t>Affaires actives
=Analyse!B4</t>
        </is>
      </c>
      <c r="C6" s="529" t="n"/>
      <c r="D6" s="530" t="n"/>
      <c r="E6" s="528" t="inlineStr">
        <is>
          <t>CA total (CHF)
=Analyse!B5</t>
        </is>
      </c>
      <c r="F6" s="529" t="n"/>
      <c r="G6" s="530" t="n"/>
      <c r="H6" s="528" t="inlineStr">
        <is>
          <t>MB totale (CHF)
=Analyse!B6</t>
        </is>
      </c>
      <c r="I6" s="529" t="n"/>
      <c r="J6" s="530" t="n"/>
    </row>
    <row r="7" ht="24" customHeight="1" s="520">
      <c r="B7" s="531" t="n"/>
      <c r="D7" s="532" t="n"/>
      <c r="E7" s="531" t="n"/>
      <c r="G7" s="532" t="n"/>
      <c r="H7" s="531" t="n"/>
      <c r="J7" s="532" t="n"/>
    </row>
    <row r="8" ht="24" customHeight="1" s="520">
      <c r="B8" s="531" t="n"/>
      <c r="D8" s="532" t="n"/>
      <c r="E8" s="531" t="n"/>
      <c r="G8" s="532" t="n"/>
      <c r="H8" s="531" t="n"/>
      <c r="J8" s="532" t="n"/>
    </row>
    <row r="9" ht="24" customHeight="1" s="520">
      <c r="B9" s="533" t="n"/>
      <c r="C9" s="534" t="n"/>
      <c r="D9" s="535" t="n"/>
      <c r="E9" s="533" t="n"/>
      <c r="F9" s="534" t="n"/>
      <c r="G9" s="535" t="n"/>
      <c r="H9" s="533" t="n"/>
      <c r="I9" s="534" t="n"/>
      <c r="J9" s="535" t="n"/>
    </row>
    <row r="10"/>
    <row r="11" ht="24" customHeight="1" s="520">
      <c r="B11" s="528" t="inlineStr">
        <is>
          <t>CA pondere (CHF)
=Analyse!B7</t>
        </is>
      </c>
      <c r="C11" s="529" t="n"/>
      <c r="D11" s="530" t="n"/>
      <c r="E11" s="528" t="inlineStr">
        <is>
          <t>MB ponderee (CHF)
=Analyse!B8</t>
        </is>
      </c>
      <c r="F11" s="529" t="n"/>
      <c r="G11" s="530" t="n"/>
    </row>
    <row r="12" ht="24" customHeight="1" s="520">
      <c r="B12" s="531" t="n"/>
      <c r="D12" s="532" t="n"/>
      <c r="E12" s="531" t="n"/>
      <c r="G12" s="532" t="n"/>
    </row>
    <row r="13" ht="24" customHeight="1" s="520">
      <c r="B13" s="531" t="n"/>
      <c r="D13" s="532" t="n"/>
      <c r="E13" s="531" t="n"/>
      <c r="G13" s="532" t="n"/>
    </row>
    <row r="14" ht="24" customHeight="1" s="520">
      <c r="B14" s="533" t="n"/>
      <c r="C14" s="534" t="n"/>
      <c r="D14" s="535" t="n"/>
      <c r="E14" s="533" t="n"/>
      <c r="F14" s="534" t="n"/>
      <c r="G14" s="535" t="n"/>
    </row>
    <row r="15"/>
    <row r="16">
      <c r="A16" s="536" t="inlineStr">
        <is>
          <t>Derniere mise a jour automatique: ouvrir Analyse pour details et tendances par segment.</t>
        </is>
      </c>
    </row>
    <row r="17"/>
    <row r="18"/>
    <row r="19" ht="24" customHeight="1" s="520">
      <c r="B19" s="537" t="inlineStr">
        <is>
          <t>Ouvrir registre Affaires</t>
        </is>
      </c>
      <c r="C19" s="538" t="n"/>
      <c r="D19" s="538" t="n"/>
      <c r="E19" s="539" t="n"/>
      <c r="F19" s="537" t="inlineStr">
        <is>
          <t>Ouvrir Analyse detaillee</t>
        </is>
      </c>
      <c r="G19" s="538" t="n"/>
      <c r="H19" s="538" t="n"/>
      <c r="I19" s="539" t="n"/>
      <c r="J19" s="537" t="inlineStr">
        <is>
          <t>Mode d'emploi</t>
        </is>
      </c>
      <c r="K19" s="538" t="n"/>
      <c r="L19" s="539" t="n"/>
    </row>
    <row r="20" ht="24" customHeight="1" s="520">
      <c r="B20" s="540" t="n"/>
      <c r="E20" s="541" t="n"/>
      <c r="F20" s="540" t="n"/>
      <c r="I20" s="541" t="n"/>
      <c r="J20" s="540" t="n"/>
      <c r="L20" s="541" t="n"/>
    </row>
    <row r="21" ht="24" customHeight="1" s="520">
      <c r="B21" s="540" t="n"/>
      <c r="E21" s="541" t="n"/>
      <c r="F21" s="540" t="n"/>
      <c r="I21" s="541" t="n"/>
      <c r="J21" s="540" t="n"/>
      <c r="L21" s="541" t="n"/>
    </row>
    <row r="22" ht="24" customHeight="1" s="520">
      <c r="B22" s="542" t="n"/>
      <c r="C22" s="543" t="n"/>
      <c r="D22" s="543" t="n"/>
      <c r="E22" s="544" t="n"/>
      <c r="F22" s="542" t="n"/>
      <c r="G22" s="543" t="n"/>
      <c r="H22" s="543" t="n"/>
      <c r="I22" s="544" t="n"/>
      <c r="J22" s="542" t="n"/>
      <c r="K22" s="543" t="n"/>
      <c r="L22" s="544" t="n"/>
    </row>
    <row r="23"/>
    <row r="24" ht="24" customHeight="1" s="520">
      <c r="A24" s="545" t="inlineStr">
        <is>
          <t>Synthese executive:
- Principales evolutions du pipeline
- Risques sur les adjudications
- Decisions attendues du CODIR</t>
        </is>
      </c>
      <c r="B24" s="546" t="n"/>
      <c r="C24" s="546" t="n"/>
      <c r="D24" s="546" t="n"/>
      <c r="E24" s="546" t="n"/>
      <c r="F24" s="546" t="n"/>
      <c r="G24" s="546" t="n"/>
      <c r="H24" s="546" t="n"/>
      <c r="I24" s="546" t="n"/>
      <c r="J24" s="546" t="n"/>
      <c r="K24" s="546" t="n"/>
      <c r="L24" s="547" t="n"/>
    </row>
    <row r="25" ht="24" customHeight="1" s="520">
      <c r="A25" s="548" t="n"/>
      <c r="L25" s="549" t="n"/>
    </row>
    <row r="26" ht="24" customHeight="1" s="520">
      <c r="A26" s="548" t="n"/>
      <c r="L26" s="549" t="n"/>
    </row>
    <row r="27" ht="24" customHeight="1" s="520">
      <c r="A27" s="548" t="n"/>
      <c r="L27" s="549" t="n"/>
    </row>
    <row r="28" ht="24" customHeight="1" s="520">
      <c r="A28" s="548" t="n"/>
      <c r="L28" s="549" t="n"/>
    </row>
    <row r="29" ht="24" customHeight="1" s="520">
      <c r="A29" s="548" t="n"/>
      <c r="L29" s="549" t="n"/>
    </row>
    <row r="30" ht="24" customHeight="1" s="520">
      <c r="A30" s="548" t="n"/>
      <c r="L30" s="549" t="n"/>
    </row>
    <row r="31" ht="24" customHeight="1" s="520">
      <c r="A31" s="548" t="n"/>
      <c r="L31" s="549" t="n"/>
    </row>
    <row r="32" ht="24" customHeight="1" s="520">
      <c r="A32" s="548" t="n"/>
      <c r="L32" s="549" t="n"/>
    </row>
    <row r="33" ht="24" customHeight="1" s="520">
      <c r="A33" s="548" t="n"/>
      <c r="L33" s="549" t="n"/>
    </row>
    <row r="34" ht="24" customHeight="1" s="520">
      <c r="A34" s="548" t="n"/>
      <c r="L34" s="549" t="n"/>
    </row>
    <row r="35" ht="24" customHeight="1" s="520">
      <c r="A35" s="548" t="n"/>
      <c r="L35" s="549" t="n"/>
    </row>
    <row r="36" ht="24" customHeight="1" s="520">
      <c r="A36" s="550" t="n"/>
      <c r="B36" s="551" t="n"/>
      <c r="C36" s="551" t="n"/>
      <c r="D36" s="551" t="n"/>
      <c r="E36" s="551" t="n"/>
      <c r="F36" s="551" t="n"/>
      <c r="G36" s="551" t="n"/>
      <c r="H36" s="551" t="n"/>
      <c r="I36" s="551" t="n"/>
      <c r="J36" s="551" t="n"/>
      <c r="K36" s="551" t="n"/>
      <c r="L36" s="552" t="n"/>
    </row>
    <row r="37"/>
    <row r="38">
      <c r="A38" s="553" t="inlineStr">
        <is>
          <t>Confidentiel - Finance | Strategie | Comite de Direction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8A"/>
  <mergeCells count="14">
    <mergeCell ref="H6:J9"/>
    <mergeCell ref="A38:L38"/>
    <mergeCell ref="E11:G14"/>
    <mergeCell ref="B11:D14"/>
    <mergeCell ref="A24:L36"/>
    <mergeCell ref="J19:L22"/>
    <mergeCell ref="B6:D9"/>
    <mergeCell ref="A16:L16"/>
    <mergeCell ref="E6:G9"/>
    <mergeCell ref="F19:I22"/>
    <mergeCell ref="A1:L2"/>
    <mergeCell ref="J4:L5"/>
    <mergeCell ref="A3:L3"/>
    <mergeCell ref="B19:E22"/>
  </mergeCells>
  <hyperlinks>
    <hyperlink ref="B19" location="'Affaires'!A1" display="Ouvrir registre Affaires"/>
    <hyperlink ref="F19" location="'Analyse'!A1" display="Ouvrir Analyse detaillee"/>
    <hyperlink ref="J19" location="'Guide'!A1" display="Mode d'emploi"/>
  </hyperlinks>
  <pageMargins left="0.3" right="0.3" top="0.4" bottom="0.4" header="0.2" footer="0.2"/>
  <pageSetup orientation="landscape" paperSize="9" scale="65"/>
  <headerFooter>
    <oddHeader>&amp;C&amp;"Calibri,Bold"&amp;12 &amp;"Calibri,Bold"&amp;12 Reporting AFFAIRES</oddHeader>
    <oddFooter>&amp;L&amp;D &amp;T&amp;RPage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7265625" defaultRowHeight="14.5"/>
  <cols>
    <col width="130" customWidth="1" style="520" min="1" max="1"/>
  </cols>
  <sheetData>
    <row r="1" ht="21" customHeight="1" s="520">
      <c r="A1" s="501" t="inlineStr">
        <is>
          <t>MODE D'EMPLOI - SUIVI DES AFFAIRES</t>
        </is>
      </c>
    </row>
    <row r="2"/>
    <row r="3">
      <c r="A3" t="inlineStr">
        <is>
          <t>1) Saisir les affaires dans la feuille Affaires (cellules blanches uniquement).</t>
        </is>
      </c>
    </row>
    <row r="4">
      <c r="A4" t="inlineStr">
        <is>
          <t>2) Pour supprimer sans risque: passer le Statut a Supprime (tracable et reversible).</t>
        </is>
      </c>
    </row>
    <row r="5">
      <c r="A5" t="inlineStr">
        <is>
          <t>3) Les colonnes Annee/Trimestre/Semestre et CA/MB sont calculees automatiquement.</t>
        </is>
      </c>
    </row>
    <row r="6">
      <c r="A6" t="inlineStr">
        <is>
          <t>4) Le dashboard Analyse presente les KPIs et graphiques pour pilotage management.</t>
        </is>
      </c>
    </row>
    <row r="7">
      <c r="A7" t="inlineStr">
        <is>
          <t>5) Controle qualite: code affaire unique, date fin &gt;= date debut, montants et % valides.</t>
        </is>
      </c>
    </row>
    <row r="8">
      <c r="A8" t="inlineStr">
        <is>
          <t>6) Le classeur est securise pour eviter les erreurs de manipulation.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8A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504"/>
  <sheetViews>
    <sheetView tabSelected="1" workbookViewId="0">
      <pane ySplit="4" topLeftCell="A5" activePane="bottomLeft" state="frozenSplit"/>
      <selection activeCell="A1" sqref="A1:L2"/>
      <selection pane="bottomLeft" activeCell="A1" sqref="A1:L2"/>
    </sheetView>
  </sheetViews>
  <sheetFormatPr baseColWidth="10" defaultColWidth="8.7265625" defaultRowHeight="14.5"/>
  <cols>
    <col width="6" customWidth="1" style="520" min="1" max="1"/>
    <col width="10" customWidth="1" style="520" min="2" max="2"/>
    <col width="32" customWidth="1" style="520" min="3" max="3"/>
    <col width="14" customWidth="1" style="520" min="4" max="4"/>
    <col width="24" customWidth="1" style="520" min="5" max="7"/>
    <col width="14" customWidth="1" style="520" min="8" max="8"/>
    <col width="13" customWidth="1" style="520" min="9" max="9"/>
    <col width="16" customWidth="1" style="520" min="10" max="10"/>
    <col width="12" customWidth="1" style="520" min="11" max="12"/>
    <col width="8" customWidth="1" style="520" min="13" max="13"/>
    <col width="10" customWidth="1" style="520" min="14" max="15"/>
    <col width="14" customWidth="1" style="520" min="16" max="17"/>
    <col width="16" customWidth="1" style="520" min="18" max="18"/>
    <col width="34" customWidth="1" style="520" min="19" max="19"/>
  </cols>
  <sheetData>
    <row r="1" ht="21" customHeight="1" s="520">
      <c r="A1" s="501" t="inlineStr">
        <is>
          <t>REGISTRE DES AFFAIRES - Version Entreprise</t>
        </is>
      </c>
    </row>
    <row r="2">
      <c r="A2" s="502" t="inlineStr">
        <is>
          <t>Saisir uniquement les colonnes blanches. Les colonnes calculees sont protegees.</t>
        </is>
      </c>
    </row>
    <row r="3"/>
    <row r="4">
      <c r="A4" s="478" t="inlineStr">
        <is>
          <t>ID</t>
        </is>
      </c>
      <c r="B4" s="478" t="inlineStr">
        <is>
          <t>Statut</t>
        </is>
      </c>
      <c r="C4" s="478" t="inlineStr">
        <is>
          <t>Nom affaire</t>
        </is>
      </c>
      <c r="D4" s="478" t="inlineStr">
        <is>
          <t>Code affaire</t>
        </is>
      </c>
      <c r="E4" s="478" t="inlineStr">
        <is>
          <t>Categorie affaire</t>
        </is>
      </c>
      <c r="F4" s="478" t="inlineStr">
        <is>
          <t>Categorie ouvrage</t>
        </is>
      </c>
      <c r="G4" s="478" t="inlineStr">
        <is>
          <t>Type adjudication</t>
        </is>
      </c>
      <c r="H4" s="478" t="inlineStr">
        <is>
          <t>Montant CHF</t>
        </is>
      </c>
      <c r="I4" s="478" t="inlineStr">
        <is>
          <t>Marge brute %</t>
        </is>
      </c>
      <c r="J4" s="478" t="inlineStr">
        <is>
          <t>Coefficient probabilite %</t>
        </is>
      </c>
      <c r="K4" s="478" t="inlineStr">
        <is>
          <t>Date debut</t>
        </is>
      </c>
      <c r="L4" s="478" t="inlineStr">
        <is>
          <t>Date fin</t>
        </is>
      </c>
      <c r="M4" s="478" t="inlineStr">
        <is>
          <t>Annee</t>
        </is>
      </c>
      <c r="N4" s="478" t="inlineStr">
        <is>
          <t>Trimestre</t>
        </is>
      </c>
      <c r="O4" s="478" t="inlineStr">
        <is>
          <t>Semestre</t>
        </is>
      </c>
      <c r="P4" s="478" t="inlineStr">
        <is>
          <t>CA pondere CHF</t>
        </is>
      </c>
      <c r="Q4" s="478" t="inlineStr">
        <is>
          <t>MB CHF</t>
        </is>
      </c>
      <c r="R4" s="478" t="inlineStr">
        <is>
          <t>MB ponderee CHF</t>
        </is>
      </c>
      <c r="S4" s="478" t="inlineStr">
        <is>
          <t>Commentaires</t>
        </is>
      </c>
    </row>
    <row r="5">
      <c r="A5" s="479">
        <f>IF(C5="","",ROW()-4)</f>
        <v/>
      </c>
      <c r="B5" s="479" t="inlineStr">
        <is>
          <t>Actif</t>
        </is>
      </c>
      <c r="C5" s="479" t="inlineStr">
        <is>
          <t>Exemple affaire</t>
        </is>
      </c>
      <c r="D5" s="479" t="inlineStr">
        <is>
          <t>AFF-001</t>
        </is>
      </c>
      <c r="E5" s="479" t="inlineStr">
        <is>
          <t>Plan de charge</t>
        </is>
      </c>
      <c r="F5" s="479" t="inlineStr">
        <is>
          <t>Jardin prive</t>
        </is>
      </c>
      <c r="G5" s="479" t="inlineStr">
        <is>
          <t>Soumission</t>
        </is>
      </c>
      <c r="H5" s="480" t="n">
        <v>100000</v>
      </c>
      <c r="I5" s="554" t="n">
        <v>0.2</v>
      </c>
      <c r="J5" s="554" t="n">
        <v>0.75</v>
      </c>
      <c r="K5" s="555" t="n">
        <v>46023</v>
      </c>
      <c r="L5" s="555" t="n">
        <v>46203</v>
      </c>
      <c r="M5" s="479">
        <f>IF(K5="","",YEAR(K5))</f>
        <v/>
      </c>
      <c r="N5" s="479">
        <f>IF(K5="","",ROUNDUP(MONTH(K5)/3,0))</f>
        <v/>
      </c>
      <c r="O5" s="479">
        <f>IF(K5="","",IF(MONTH(K5)&lt;=6,1,2))</f>
        <v/>
      </c>
      <c r="P5" s="480">
        <f>IF(B5&lt;&gt;"Actif",0,H5*J5)</f>
        <v/>
      </c>
      <c r="Q5" s="480">
        <f>IF(B5&lt;&gt;"Actif",0,H5*I5)</f>
        <v/>
      </c>
      <c r="R5" s="480">
        <f>IF(B5&lt;&gt;"Actif",0,H5*I5*J5)</f>
        <v/>
      </c>
      <c r="S5" s="479" t="inlineStr">
        <is>
          <t>Ligne exemple</t>
        </is>
      </c>
    </row>
    <row r="6">
      <c r="A6" s="479">
        <f>IF(C6="","",ROW()-4)</f>
        <v/>
      </c>
      <c r="B6" s="479" t="n"/>
      <c r="C6" s="479" t="n"/>
      <c r="D6" s="479" t="n"/>
      <c r="E6" s="479" t="n"/>
      <c r="F6" s="479" t="n"/>
      <c r="G6" s="479" t="n"/>
      <c r="H6" s="480" t="n"/>
      <c r="I6" s="554" t="n"/>
      <c r="J6" s="554" t="n"/>
      <c r="K6" s="555" t="n"/>
      <c r="L6" s="555" t="n"/>
      <c r="M6" s="479">
        <f>IF(K6="","",YEAR(K6))</f>
        <v/>
      </c>
      <c r="N6" s="479">
        <f>IF(K6="","",ROUNDUP(MONTH(K6)/3,0))</f>
        <v/>
      </c>
      <c r="O6" s="479">
        <f>IF(K6="","",IF(MONTH(K6)&lt;=6,1,2))</f>
        <v/>
      </c>
      <c r="P6" s="480">
        <f>IF(B6&lt;&gt;"Actif",0,H6*J6)</f>
        <v/>
      </c>
      <c r="Q6" s="480">
        <f>IF(B6&lt;&gt;"Actif",0,H6*I6)</f>
        <v/>
      </c>
      <c r="R6" s="480">
        <f>IF(B6&lt;&gt;"Actif",0,H6*I6*J6)</f>
        <v/>
      </c>
      <c r="S6" s="479" t="n"/>
    </row>
    <row r="7">
      <c r="A7" s="479">
        <f>IF(C7="","",ROW()-4)</f>
        <v/>
      </c>
      <c r="B7" s="479" t="n"/>
      <c r="C7" s="479" t="n"/>
      <c r="D7" s="479" t="n"/>
      <c r="E7" s="479" t="n"/>
      <c r="F7" s="479" t="n"/>
      <c r="G7" s="479" t="n"/>
      <c r="H7" s="480" t="n"/>
      <c r="I7" s="554" t="n"/>
      <c r="J7" s="554" t="n"/>
      <c r="K7" s="555" t="n"/>
      <c r="L7" s="555" t="n"/>
      <c r="M7" s="479">
        <f>IF(K7="","",YEAR(K7))</f>
        <v/>
      </c>
      <c r="N7" s="479">
        <f>IF(K7="","",ROUNDUP(MONTH(K7)/3,0))</f>
        <v/>
      </c>
      <c r="O7" s="479">
        <f>IF(K7="","",IF(MONTH(K7)&lt;=6,1,2))</f>
        <v/>
      </c>
      <c r="P7" s="480">
        <f>IF(B7&lt;&gt;"Actif",0,H7*J7)</f>
        <v/>
      </c>
      <c r="Q7" s="480">
        <f>IF(B7&lt;&gt;"Actif",0,H7*I7)</f>
        <v/>
      </c>
      <c r="R7" s="480">
        <f>IF(B7&lt;&gt;"Actif",0,H7*I7*J7)</f>
        <v/>
      </c>
      <c r="S7" s="479" t="n"/>
    </row>
    <row r="8">
      <c r="A8" s="479">
        <f>IF(C8="","",ROW()-4)</f>
        <v/>
      </c>
      <c r="B8" s="479" t="n"/>
      <c r="C8" s="479" t="n"/>
      <c r="D8" s="479" t="n"/>
      <c r="E8" s="479" t="n"/>
      <c r="F8" s="479" t="n"/>
      <c r="G8" s="479" t="n"/>
      <c r="H8" s="480" t="n"/>
      <c r="I8" s="554" t="n"/>
      <c r="J8" s="554" t="n"/>
      <c r="K8" s="555" t="n"/>
      <c r="L8" s="555" t="n"/>
      <c r="M8" s="479">
        <f>IF(K8="","",YEAR(K8))</f>
        <v/>
      </c>
      <c r="N8" s="479">
        <f>IF(K8="","",ROUNDUP(MONTH(K8)/3,0))</f>
        <v/>
      </c>
      <c r="O8" s="479">
        <f>IF(K8="","",IF(MONTH(K8)&lt;=6,1,2))</f>
        <v/>
      </c>
      <c r="P8" s="480">
        <f>IF(B8&lt;&gt;"Actif",0,H8*J8)</f>
        <v/>
      </c>
      <c r="Q8" s="480">
        <f>IF(B8&lt;&gt;"Actif",0,H8*I8)</f>
        <v/>
      </c>
      <c r="R8" s="480">
        <f>IF(B8&lt;&gt;"Actif",0,H8*I8*J8)</f>
        <v/>
      </c>
      <c r="S8" s="479" t="n"/>
    </row>
    <row r="9">
      <c r="A9" s="479">
        <f>IF(C9="","",ROW()-4)</f>
        <v/>
      </c>
      <c r="B9" s="479" t="n"/>
      <c r="C9" s="479" t="n"/>
      <c r="D9" s="479" t="n"/>
      <c r="E9" s="479" t="n"/>
      <c r="F9" s="479" t="n"/>
      <c r="G9" s="479" t="n"/>
      <c r="H9" s="480" t="n"/>
      <c r="I9" s="554" t="n"/>
      <c r="J9" s="554" t="n"/>
      <c r="K9" s="555" t="n"/>
      <c r="L9" s="555" t="n"/>
      <c r="M9" s="479">
        <f>IF(K9="","",YEAR(K9))</f>
        <v/>
      </c>
      <c r="N9" s="479">
        <f>IF(K9="","",ROUNDUP(MONTH(K9)/3,0))</f>
        <v/>
      </c>
      <c r="O9" s="479">
        <f>IF(K9="","",IF(MONTH(K9)&lt;=6,1,2))</f>
        <v/>
      </c>
      <c r="P9" s="480">
        <f>IF(B9&lt;&gt;"Actif",0,H9*J9)</f>
        <v/>
      </c>
      <c r="Q9" s="480">
        <f>IF(B9&lt;&gt;"Actif",0,H9*I9)</f>
        <v/>
      </c>
      <c r="R9" s="480">
        <f>IF(B9&lt;&gt;"Actif",0,H9*I9*J9)</f>
        <v/>
      </c>
      <c r="S9" s="479" t="n"/>
    </row>
    <row r="10">
      <c r="A10" s="479">
        <f>IF(C10="","",ROW()-4)</f>
        <v/>
      </c>
      <c r="B10" s="479" t="n"/>
      <c r="C10" s="479" t="n"/>
      <c r="D10" s="479" t="n"/>
      <c r="E10" s="479" t="n"/>
      <c r="F10" s="479" t="n"/>
      <c r="G10" s="479" t="n"/>
      <c r="H10" s="480" t="n"/>
      <c r="I10" s="554" t="n"/>
      <c r="J10" s="554" t="n"/>
      <c r="K10" s="555" t="n"/>
      <c r="L10" s="555" t="n"/>
      <c r="M10" s="479">
        <f>IF(K10="","",YEAR(K10))</f>
        <v/>
      </c>
      <c r="N10" s="479">
        <f>IF(K10="","",ROUNDUP(MONTH(K10)/3,0))</f>
        <v/>
      </c>
      <c r="O10" s="479">
        <f>IF(K10="","",IF(MONTH(K10)&lt;=6,1,2))</f>
        <v/>
      </c>
      <c r="P10" s="480">
        <f>IF(B10&lt;&gt;"Actif",0,H10*J10)</f>
        <v/>
      </c>
      <c r="Q10" s="480">
        <f>IF(B10&lt;&gt;"Actif",0,H10*I10)</f>
        <v/>
      </c>
      <c r="R10" s="480">
        <f>IF(B10&lt;&gt;"Actif",0,H10*I10*J10)</f>
        <v/>
      </c>
      <c r="S10" s="479" t="n"/>
    </row>
    <row r="11">
      <c r="A11" s="479">
        <f>IF(C11="","",ROW()-4)</f>
        <v/>
      </c>
      <c r="B11" s="479" t="n"/>
      <c r="C11" s="479" t="n"/>
      <c r="D11" s="479" t="n"/>
      <c r="E11" s="479" t="n"/>
      <c r="F11" s="479" t="n"/>
      <c r="G11" s="479" t="n"/>
      <c r="H11" s="480" t="n"/>
      <c r="I11" s="554" t="n"/>
      <c r="J11" s="554" t="n"/>
      <c r="K11" s="555" t="n"/>
      <c r="L11" s="555" t="n"/>
      <c r="M11" s="479">
        <f>IF(K11="","",YEAR(K11))</f>
        <v/>
      </c>
      <c r="N11" s="479">
        <f>IF(K11="","",ROUNDUP(MONTH(K11)/3,0))</f>
        <v/>
      </c>
      <c r="O11" s="479">
        <f>IF(K11="","",IF(MONTH(K11)&lt;=6,1,2))</f>
        <v/>
      </c>
      <c r="P11" s="480">
        <f>IF(B11&lt;&gt;"Actif",0,H11*J11)</f>
        <v/>
      </c>
      <c r="Q11" s="480">
        <f>IF(B11&lt;&gt;"Actif",0,H11*I11)</f>
        <v/>
      </c>
      <c r="R11" s="480">
        <f>IF(B11&lt;&gt;"Actif",0,H11*I11*J11)</f>
        <v/>
      </c>
      <c r="S11" s="479" t="n"/>
    </row>
    <row r="12">
      <c r="A12" s="479">
        <f>IF(C12="","",ROW()-4)</f>
        <v/>
      </c>
      <c r="B12" s="479" t="n"/>
      <c r="C12" s="479" t="n"/>
      <c r="D12" s="479" t="n"/>
      <c r="E12" s="479" t="n"/>
      <c r="F12" s="479" t="n"/>
      <c r="G12" s="479" t="n"/>
      <c r="H12" s="480" t="n"/>
      <c r="I12" s="554" t="n"/>
      <c r="J12" s="554" t="n"/>
      <c r="K12" s="555" t="n"/>
      <c r="L12" s="555" t="n"/>
      <c r="M12" s="479">
        <f>IF(K12="","",YEAR(K12))</f>
        <v/>
      </c>
      <c r="N12" s="479">
        <f>IF(K12="","",ROUNDUP(MONTH(K12)/3,0))</f>
        <v/>
      </c>
      <c r="O12" s="479">
        <f>IF(K12="","",IF(MONTH(K12)&lt;=6,1,2))</f>
        <v/>
      </c>
      <c r="P12" s="480">
        <f>IF(B12&lt;&gt;"Actif",0,H12*J12)</f>
        <v/>
      </c>
      <c r="Q12" s="480">
        <f>IF(B12&lt;&gt;"Actif",0,H12*I12)</f>
        <v/>
      </c>
      <c r="R12" s="480">
        <f>IF(B12&lt;&gt;"Actif",0,H12*I12*J12)</f>
        <v/>
      </c>
      <c r="S12" s="479" t="n"/>
    </row>
    <row r="13">
      <c r="A13" s="479">
        <f>IF(C13="","",ROW()-4)</f>
        <v/>
      </c>
      <c r="B13" s="479" t="n"/>
      <c r="C13" s="479" t="n"/>
      <c r="D13" s="479" t="n"/>
      <c r="E13" s="479" t="n"/>
      <c r="F13" s="479" t="n"/>
      <c r="G13" s="479" t="n"/>
      <c r="H13" s="480" t="n"/>
      <c r="I13" s="554" t="n"/>
      <c r="J13" s="554" t="n"/>
      <c r="K13" s="555" t="n"/>
      <c r="L13" s="555" t="n"/>
      <c r="M13" s="479">
        <f>IF(K13="","",YEAR(K13))</f>
        <v/>
      </c>
      <c r="N13" s="479">
        <f>IF(K13="","",ROUNDUP(MONTH(K13)/3,0))</f>
        <v/>
      </c>
      <c r="O13" s="479">
        <f>IF(K13="","",IF(MONTH(K13)&lt;=6,1,2))</f>
        <v/>
      </c>
      <c r="P13" s="480">
        <f>IF(B13&lt;&gt;"Actif",0,H13*J13)</f>
        <v/>
      </c>
      <c r="Q13" s="480">
        <f>IF(B13&lt;&gt;"Actif",0,H13*I13)</f>
        <v/>
      </c>
      <c r="R13" s="480">
        <f>IF(B13&lt;&gt;"Actif",0,H13*I13*J13)</f>
        <v/>
      </c>
      <c r="S13" s="479" t="n"/>
    </row>
    <row r="14">
      <c r="A14" s="479">
        <f>IF(C14="","",ROW()-4)</f>
        <v/>
      </c>
      <c r="B14" s="479" t="n"/>
      <c r="C14" s="479" t="n"/>
      <c r="D14" s="479" t="n"/>
      <c r="E14" s="479" t="n"/>
      <c r="F14" s="479" t="n"/>
      <c r="G14" s="479" t="n"/>
      <c r="H14" s="480" t="n"/>
      <c r="I14" s="554" t="n"/>
      <c r="J14" s="554" t="n"/>
      <c r="K14" s="555" t="n"/>
      <c r="L14" s="555" t="n"/>
      <c r="M14" s="479">
        <f>IF(K14="","",YEAR(K14))</f>
        <v/>
      </c>
      <c r="N14" s="479">
        <f>IF(K14="","",ROUNDUP(MONTH(K14)/3,0))</f>
        <v/>
      </c>
      <c r="O14" s="479">
        <f>IF(K14="","",IF(MONTH(K14)&lt;=6,1,2))</f>
        <v/>
      </c>
      <c r="P14" s="480">
        <f>IF(B14&lt;&gt;"Actif",0,H14*J14)</f>
        <v/>
      </c>
      <c r="Q14" s="480">
        <f>IF(B14&lt;&gt;"Actif",0,H14*I14)</f>
        <v/>
      </c>
      <c r="R14" s="480">
        <f>IF(B14&lt;&gt;"Actif",0,H14*I14*J14)</f>
        <v/>
      </c>
      <c r="S14" s="479" t="n"/>
    </row>
    <row r="15">
      <c r="A15" s="479">
        <f>IF(C15="","",ROW()-4)</f>
        <v/>
      </c>
      <c r="B15" s="479" t="n"/>
      <c r="C15" s="479" t="n"/>
      <c r="D15" s="479" t="n"/>
      <c r="E15" s="479" t="n"/>
      <c r="F15" s="479" t="n"/>
      <c r="G15" s="479" t="n"/>
      <c r="H15" s="480" t="n"/>
      <c r="I15" s="554" t="n"/>
      <c r="J15" s="554" t="n"/>
      <c r="K15" s="555" t="n"/>
      <c r="L15" s="555" t="n"/>
      <c r="M15" s="479">
        <f>IF(K15="","",YEAR(K15))</f>
        <v/>
      </c>
      <c r="N15" s="479">
        <f>IF(K15="","",ROUNDUP(MONTH(K15)/3,0))</f>
        <v/>
      </c>
      <c r="O15" s="479">
        <f>IF(K15="","",IF(MONTH(K15)&lt;=6,1,2))</f>
        <v/>
      </c>
      <c r="P15" s="480">
        <f>IF(B15&lt;&gt;"Actif",0,H15*J15)</f>
        <v/>
      </c>
      <c r="Q15" s="480">
        <f>IF(B15&lt;&gt;"Actif",0,H15*I15)</f>
        <v/>
      </c>
      <c r="R15" s="480">
        <f>IF(B15&lt;&gt;"Actif",0,H15*I15*J15)</f>
        <v/>
      </c>
      <c r="S15" s="479" t="n"/>
    </row>
    <row r="16">
      <c r="A16" s="479">
        <f>IF(C16="","",ROW()-4)</f>
        <v/>
      </c>
      <c r="B16" s="479" t="n"/>
      <c r="C16" s="479" t="n"/>
      <c r="D16" s="479" t="n"/>
      <c r="E16" s="479" t="n"/>
      <c r="F16" s="479" t="n"/>
      <c r="G16" s="479" t="n"/>
      <c r="H16" s="480" t="n"/>
      <c r="I16" s="554" t="n"/>
      <c r="J16" s="554" t="n"/>
      <c r="K16" s="555" t="n"/>
      <c r="L16" s="555" t="n"/>
      <c r="M16" s="479">
        <f>IF(K16="","",YEAR(K16))</f>
        <v/>
      </c>
      <c r="N16" s="479">
        <f>IF(K16="","",ROUNDUP(MONTH(K16)/3,0))</f>
        <v/>
      </c>
      <c r="O16" s="479">
        <f>IF(K16="","",IF(MONTH(K16)&lt;=6,1,2))</f>
        <v/>
      </c>
      <c r="P16" s="480">
        <f>IF(B16&lt;&gt;"Actif",0,H16*J16)</f>
        <v/>
      </c>
      <c r="Q16" s="480">
        <f>IF(B16&lt;&gt;"Actif",0,H16*I16)</f>
        <v/>
      </c>
      <c r="R16" s="480">
        <f>IF(B16&lt;&gt;"Actif",0,H16*I16*J16)</f>
        <v/>
      </c>
      <c r="S16" s="479" t="n"/>
    </row>
    <row r="17">
      <c r="A17" s="479">
        <f>IF(C17="","",ROW()-4)</f>
        <v/>
      </c>
      <c r="B17" s="479" t="n"/>
      <c r="C17" s="479" t="n"/>
      <c r="D17" s="479" t="n"/>
      <c r="E17" s="479" t="n"/>
      <c r="F17" s="479" t="n"/>
      <c r="G17" s="479" t="n"/>
      <c r="H17" s="480" t="n"/>
      <c r="I17" s="554" t="n"/>
      <c r="J17" s="554" t="n"/>
      <c r="K17" s="555" t="n"/>
      <c r="L17" s="555" t="n"/>
      <c r="M17" s="479">
        <f>IF(K17="","",YEAR(K17))</f>
        <v/>
      </c>
      <c r="N17" s="479">
        <f>IF(K17="","",ROUNDUP(MONTH(K17)/3,0))</f>
        <v/>
      </c>
      <c r="O17" s="479">
        <f>IF(K17="","",IF(MONTH(K17)&lt;=6,1,2))</f>
        <v/>
      </c>
      <c r="P17" s="480">
        <f>IF(B17&lt;&gt;"Actif",0,H17*J17)</f>
        <v/>
      </c>
      <c r="Q17" s="480">
        <f>IF(B17&lt;&gt;"Actif",0,H17*I17)</f>
        <v/>
      </c>
      <c r="R17" s="480">
        <f>IF(B17&lt;&gt;"Actif",0,H17*I17*J17)</f>
        <v/>
      </c>
      <c r="S17" s="479" t="n"/>
    </row>
    <row r="18">
      <c r="A18" s="479">
        <f>IF(C18="","",ROW()-4)</f>
        <v/>
      </c>
      <c r="B18" s="479" t="n"/>
      <c r="C18" s="479" t="n"/>
      <c r="D18" s="479" t="n"/>
      <c r="E18" s="479" t="n"/>
      <c r="F18" s="479" t="n"/>
      <c r="G18" s="479" t="n"/>
      <c r="H18" s="480" t="n"/>
      <c r="I18" s="554" t="n"/>
      <c r="J18" s="554" t="n"/>
      <c r="K18" s="555" t="n"/>
      <c r="L18" s="555" t="n"/>
      <c r="M18" s="479">
        <f>IF(K18="","",YEAR(K18))</f>
        <v/>
      </c>
      <c r="N18" s="479">
        <f>IF(K18="","",ROUNDUP(MONTH(K18)/3,0))</f>
        <v/>
      </c>
      <c r="O18" s="479">
        <f>IF(K18="","",IF(MONTH(K18)&lt;=6,1,2))</f>
        <v/>
      </c>
      <c r="P18" s="480">
        <f>IF(B18&lt;&gt;"Actif",0,H18*J18)</f>
        <v/>
      </c>
      <c r="Q18" s="480">
        <f>IF(B18&lt;&gt;"Actif",0,H18*I18)</f>
        <v/>
      </c>
      <c r="R18" s="480">
        <f>IF(B18&lt;&gt;"Actif",0,H18*I18*J18)</f>
        <v/>
      </c>
      <c r="S18" s="479" t="n"/>
    </row>
    <row r="19">
      <c r="A19" s="479">
        <f>IF(C19="","",ROW()-4)</f>
        <v/>
      </c>
      <c r="B19" s="479" t="n"/>
      <c r="C19" s="479" t="n"/>
      <c r="D19" s="479" t="n"/>
      <c r="E19" s="479" t="n"/>
      <c r="F19" s="479" t="n"/>
      <c r="G19" s="479" t="n"/>
      <c r="H19" s="480" t="n"/>
      <c r="I19" s="554" t="n"/>
      <c r="J19" s="554" t="n"/>
      <c r="K19" s="555" t="n"/>
      <c r="L19" s="555" t="n"/>
      <c r="M19" s="479">
        <f>IF(K19="","",YEAR(K19))</f>
        <v/>
      </c>
      <c r="N19" s="479">
        <f>IF(K19="","",ROUNDUP(MONTH(K19)/3,0))</f>
        <v/>
      </c>
      <c r="O19" s="479">
        <f>IF(K19="","",IF(MONTH(K19)&lt;=6,1,2))</f>
        <v/>
      </c>
      <c r="P19" s="480">
        <f>IF(B19&lt;&gt;"Actif",0,H19*J19)</f>
        <v/>
      </c>
      <c r="Q19" s="480">
        <f>IF(B19&lt;&gt;"Actif",0,H19*I19)</f>
        <v/>
      </c>
      <c r="R19" s="480">
        <f>IF(B19&lt;&gt;"Actif",0,H19*I19*J19)</f>
        <v/>
      </c>
      <c r="S19" s="479" t="n"/>
    </row>
    <row r="20">
      <c r="A20" s="479">
        <f>IF(C20="","",ROW()-4)</f>
        <v/>
      </c>
      <c r="B20" s="479" t="n"/>
      <c r="C20" s="479" t="n"/>
      <c r="D20" s="479" t="n"/>
      <c r="E20" s="479" t="n"/>
      <c r="F20" s="479" t="n"/>
      <c r="G20" s="479" t="n"/>
      <c r="H20" s="480" t="n"/>
      <c r="I20" s="554" t="n"/>
      <c r="J20" s="554" t="n"/>
      <c r="K20" s="555" t="n"/>
      <c r="L20" s="555" t="n"/>
      <c r="M20" s="479">
        <f>IF(K20="","",YEAR(K20))</f>
        <v/>
      </c>
      <c r="N20" s="479">
        <f>IF(K20="","",ROUNDUP(MONTH(K20)/3,0))</f>
        <v/>
      </c>
      <c r="O20" s="479">
        <f>IF(K20="","",IF(MONTH(K20)&lt;=6,1,2))</f>
        <v/>
      </c>
      <c r="P20" s="480">
        <f>IF(B20&lt;&gt;"Actif",0,H20*J20)</f>
        <v/>
      </c>
      <c r="Q20" s="480">
        <f>IF(B20&lt;&gt;"Actif",0,H20*I20)</f>
        <v/>
      </c>
      <c r="R20" s="480">
        <f>IF(B20&lt;&gt;"Actif",0,H20*I20*J20)</f>
        <v/>
      </c>
      <c r="S20" s="479" t="n"/>
    </row>
    <row r="21">
      <c r="A21" s="479">
        <f>IF(C21="","",ROW()-4)</f>
        <v/>
      </c>
      <c r="B21" s="479" t="n"/>
      <c r="C21" s="479" t="n"/>
      <c r="D21" s="479" t="n"/>
      <c r="E21" s="479" t="n"/>
      <c r="F21" s="479" t="n"/>
      <c r="G21" s="479" t="n"/>
      <c r="H21" s="480" t="n"/>
      <c r="I21" s="554" t="n"/>
      <c r="J21" s="554" t="n"/>
      <c r="K21" s="555" t="n"/>
      <c r="L21" s="555" t="n"/>
      <c r="M21" s="479">
        <f>IF(K21="","",YEAR(K21))</f>
        <v/>
      </c>
      <c r="N21" s="479">
        <f>IF(K21="","",ROUNDUP(MONTH(K21)/3,0))</f>
        <v/>
      </c>
      <c r="O21" s="479">
        <f>IF(K21="","",IF(MONTH(K21)&lt;=6,1,2))</f>
        <v/>
      </c>
      <c r="P21" s="480">
        <f>IF(B21&lt;&gt;"Actif",0,H21*J21)</f>
        <v/>
      </c>
      <c r="Q21" s="480">
        <f>IF(B21&lt;&gt;"Actif",0,H21*I21)</f>
        <v/>
      </c>
      <c r="R21" s="480">
        <f>IF(B21&lt;&gt;"Actif",0,H21*I21*J21)</f>
        <v/>
      </c>
      <c r="S21" s="479" t="n"/>
    </row>
    <row r="22">
      <c r="A22" s="479">
        <f>IF(C22="","",ROW()-4)</f>
        <v/>
      </c>
      <c r="B22" s="479" t="n"/>
      <c r="C22" s="479" t="n"/>
      <c r="D22" s="479" t="n"/>
      <c r="E22" s="479" t="n"/>
      <c r="F22" s="479" t="n"/>
      <c r="G22" s="479" t="n"/>
      <c r="H22" s="480" t="n"/>
      <c r="I22" s="554" t="n"/>
      <c r="J22" s="554" t="n"/>
      <c r="K22" s="555" t="n"/>
      <c r="L22" s="555" t="n"/>
      <c r="M22" s="479">
        <f>IF(K22="","",YEAR(K22))</f>
        <v/>
      </c>
      <c r="N22" s="479">
        <f>IF(K22="","",ROUNDUP(MONTH(K22)/3,0))</f>
        <v/>
      </c>
      <c r="O22" s="479">
        <f>IF(K22="","",IF(MONTH(K22)&lt;=6,1,2))</f>
        <v/>
      </c>
      <c r="P22" s="480">
        <f>IF(B22&lt;&gt;"Actif",0,H22*J22)</f>
        <v/>
      </c>
      <c r="Q22" s="480">
        <f>IF(B22&lt;&gt;"Actif",0,H22*I22)</f>
        <v/>
      </c>
      <c r="R22" s="480">
        <f>IF(B22&lt;&gt;"Actif",0,H22*I22*J22)</f>
        <v/>
      </c>
      <c r="S22" s="479" t="n"/>
    </row>
    <row r="23">
      <c r="A23" s="479">
        <f>IF(C23="","",ROW()-4)</f>
        <v/>
      </c>
      <c r="B23" s="479" t="n"/>
      <c r="C23" s="479" t="n"/>
      <c r="D23" s="479" t="n"/>
      <c r="E23" s="479" t="n"/>
      <c r="F23" s="479" t="n"/>
      <c r="G23" s="479" t="n"/>
      <c r="H23" s="480" t="n"/>
      <c r="I23" s="554" t="n"/>
      <c r="J23" s="554" t="n"/>
      <c r="K23" s="555" t="n"/>
      <c r="L23" s="555" t="n"/>
      <c r="M23" s="479">
        <f>IF(K23="","",YEAR(K23))</f>
        <v/>
      </c>
      <c r="N23" s="479">
        <f>IF(K23="","",ROUNDUP(MONTH(K23)/3,0))</f>
        <v/>
      </c>
      <c r="O23" s="479">
        <f>IF(K23="","",IF(MONTH(K23)&lt;=6,1,2))</f>
        <v/>
      </c>
      <c r="P23" s="480">
        <f>IF(B23&lt;&gt;"Actif",0,H23*J23)</f>
        <v/>
      </c>
      <c r="Q23" s="480">
        <f>IF(B23&lt;&gt;"Actif",0,H23*I23)</f>
        <v/>
      </c>
      <c r="R23" s="480">
        <f>IF(B23&lt;&gt;"Actif",0,H23*I23*J23)</f>
        <v/>
      </c>
      <c r="S23" s="479" t="n"/>
    </row>
    <row r="24">
      <c r="A24" s="479">
        <f>IF(C24="","",ROW()-4)</f>
        <v/>
      </c>
      <c r="B24" s="479" t="n"/>
      <c r="C24" s="479" t="n"/>
      <c r="D24" s="479" t="n"/>
      <c r="E24" s="479" t="n"/>
      <c r="F24" s="479" t="n"/>
      <c r="G24" s="479" t="n"/>
      <c r="H24" s="480" t="n"/>
      <c r="I24" s="554" t="n"/>
      <c r="J24" s="554" t="n"/>
      <c r="K24" s="555" t="n"/>
      <c r="L24" s="555" t="n"/>
      <c r="M24" s="479">
        <f>IF(K24="","",YEAR(K24))</f>
        <v/>
      </c>
      <c r="N24" s="479">
        <f>IF(K24="","",ROUNDUP(MONTH(K24)/3,0))</f>
        <v/>
      </c>
      <c r="O24" s="479">
        <f>IF(K24="","",IF(MONTH(K24)&lt;=6,1,2))</f>
        <v/>
      </c>
      <c r="P24" s="480">
        <f>IF(B24&lt;&gt;"Actif",0,H24*J24)</f>
        <v/>
      </c>
      <c r="Q24" s="480">
        <f>IF(B24&lt;&gt;"Actif",0,H24*I24)</f>
        <v/>
      </c>
      <c r="R24" s="480">
        <f>IF(B24&lt;&gt;"Actif",0,H24*I24*J24)</f>
        <v/>
      </c>
      <c r="S24" s="479" t="n"/>
    </row>
    <row r="25">
      <c r="A25" s="479">
        <f>IF(C25="","",ROW()-4)</f>
        <v/>
      </c>
      <c r="B25" s="479" t="n"/>
      <c r="C25" s="479" t="n"/>
      <c r="D25" s="479" t="n"/>
      <c r="E25" s="479" t="n"/>
      <c r="F25" s="479" t="n"/>
      <c r="G25" s="479" t="n"/>
      <c r="H25" s="480" t="n"/>
      <c r="I25" s="554" t="n"/>
      <c r="J25" s="554" t="n"/>
      <c r="K25" s="555" t="n"/>
      <c r="L25" s="555" t="n"/>
      <c r="M25" s="479">
        <f>IF(K25="","",YEAR(K25))</f>
        <v/>
      </c>
      <c r="N25" s="479">
        <f>IF(K25="","",ROUNDUP(MONTH(K25)/3,0))</f>
        <v/>
      </c>
      <c r="O25" s="479">
        <f>IF(K25="","",IF(MONTH(K25)&lt;=6,1,2))</f>
        <v/>
      </c>
      <c r="P25" s="480">
        <f>IF(B25&lt;&gt;"Actif",0,H25*J25)</f>
        <v/>
      </c>
      <c r="Q25" s="480">
        <f>IF(B25&lt;&gt;"Actif",0,H25*I25)</f>
        <v/>
      </c>
      <c r="R25" s="480">
        <f>IF(B25&lt;&gt;"Actif",0,H25*I25*J25)</f>
        <v/>
      </c>
      <c r="S25" s="479" t="n"/>
    </row>
    <row r="26">
      <c r="A26" s="479">
        <f>IF(C26="","",ROW()-4)</f>
        <v/>
      </c>
      <c r="B26" s="479" t="n"/>
      <c r="C26" s="479" t="n"/>
      <c r="D26" s="479" t="n"/>
      <c r="E26" s="479" t="n"/>
      <c r="F26" s="479" t="n"/>
      <c r="G26" s="479" t="n"/>
      <c r="H26" s="480" t="n"/>
      <c r="I26" s="554" t="n"/>
      <c r="J26" s="554" t="n"/>
      <c r="K26" s="555" t="n"/>
      <c r="L26" s="555" t="n"/>
      <c r="M26" s="479">
        <f>IF(K26="","",YEAR(K26))</f>
        <v/>
      </c>
      <c r="N26" s="479">
        <f>IF(K26="","",ROUNDUP(MONTH(K26)/3,0))</f>
        <v/>
      </c>
      <c r="O26" s="479">
        <f>IF(K26="","",IF(MONTH(K26)&lt;=6,1,2))</f>
        <v/>
      </c>
      <c r="P26" s="480">
        <f>IF(B26&lt;&gt;"Actif",0,H26*J26)</f>
        <v/>
      </c>
      <c r="Q26" s="480">
        <f>IF(B26&lt;&gt;"Actif",0,H26*I26)</f>
        <v/>
      </c>
      <c r="R26" s="480">
        <f>IF(B26&lt;&gt;"Actif",0,H26*I26*J26)</f>
        <v/>
      </c>
      <c r="S26" s="479" t="n"/>
    </row>
    <row r="27">
      <c r="A27" s="479">
        <f>IF(C27="","",ROW()-4)</f>
        <v/>
      </c>
      <c r="B27" s="479" t="n"/>
      <c r="C27" s="479" t="n"/>
      <c r="D27" s="479" t="n"/>
      <c r="E27" s="479" t="n"/>
      <c r="F27" s="479" t="n"/>
      <c r="G27" s="479" t="n"/>
      <c r="H27" s="480" t="n"/>
      <c r="I27" s="554" t="n"/>
      <c r="J27" s="554" t="n"/>
      <c r="K27" s="555" t="n"/>
      <c r="L27" s="555" t="n"/>
      <c r="M27" s="479">
        <f>IF(K27="","",YEAR(K27))</f>
        <v/>
      </c>
      <c r="N27" s="479">
        <f>IF(K27="","",ROUNDUP(MONTH(K27)/3,0))</f>
        <v/>
      </c>
      <c r="O27" s="479">
        <f>IF(K27="","",IF(MONTH(K27)&lt;=6,1,2))</f>
        <v/>
      </c>
      <c r="P27" s="480">
        <f>IF(B27&lt;&gt;"Actif",0,H27*J27)</f>
        <v/>
      </c>
      <c r="Q27" s="480">
        <f>IF(B27&lt;&gt;"Actif",0,H27*I27)</f>
        <v/>
      </c>
      <c r="R27" s="480">
        <f>IF(B27&lt;&gt;"Actif",0,H27*I27*J27)</f>
        <v/>
      </c>
      <c r="S27" s="479" t="n"/>
    </row>
    <row r="28">
      <c r="A28" s="479">
        <f>IF(C28="","",ROW()-4)</f>
        <v/>
      </c>
      <c r="B28" s="479" t="n"/>
      <c r="C28" s="479" t="n"/>
      <c r="D28" s="479" t="n"/>
      <c r="E28" s="479" t="n"/>
      <c r="F28" s="479" t="n"/>
      <c r="G28" s="479" t="n"/>
      <c r="H28" s="480" t="n"/>
      <c r="I28" s="554" t="n"/>
      <c r="J28" s="554" t="n"/>
      <c r="K28" s="555" t="n"/>
      <c r="L28" s="555" t="n"/>
      <c r="M28" s="479">
        <f>IF(K28="","",YEAR(K28))</f>
        <v/>
      </c>
      <c r="N28" s="479">
        <f>IF(K28="","",ROUNDUP(MONTH(K28)/3,0))</f>
        <v/>
      </c>
      <c r="O28" s="479">
        <f>IF(K28="","",IF(MONTH(K28)&lt;=6,1,2))</f>
        <v/>
      </c>
      <c r="P28" s="480">
        <f>IF(B28&lt;&gt;"Actif",0,H28*J28)</f>
        <v/>
      </c>
      <c r="Q28" s="480">
        <f>IF(B28&lt;&gt;"Actif",0,H28*I28)</f>
        <v/>
      </c>
      <c r="R28" s="480">
        <f>IF(B28&lt;&gt;"Actif",0,H28*I28*J28)</f>
        <v/>
      </c>
      <c r="S28" s="479" t="n"/>
    </row>
    <row r="29">
      <c r="A29" s="479">
        <f>IF(C29="","",ROW()-4)</f>
        <v/>
      </c>
      <c r="B29" s="479" t="n"/>
      <c r="C29" s="479" t="n"/>
      <c r="D29" s="479" t="n"/>
      <c r="E29" s="479" t="n"/>
      <c r="F29" s="479" t="n"/>
      <c r="G29" s="479" t="n"/>
      <c r="H29" s="480" t="n"/>
      <c r="I29" s="554" t="n"/>
      <c r="J29" s="554" t="n"/>
      <c r="K29" s="555" t="n"/>
      <c r="L29" s="555" t="n"/>
      <c r="M29" s="479">
        <f>IF(K29="","",YEAR(K29))</f>
        <v/>
      </c>
      <c r="N29" s="479">
        <f>IF(K29="","",ROUNDUP(MONTH(K29)/3,0))</f>
        <v/>
      </c>
      <c r="O29" s="479">
        <f>IF(K29="","",IF(MONTH(K29)&lt;=6,1,2))</f>
        <v/>
      </c>
      <c r="P29" s="480">
        <f>IF(B29&lt;&gt;"Actif",0,H29*J29)</f>
        <v/>
      </c>
      <c r="Q29" s="480">
        <f>IF(B29&lt;&gt;"Actif",0,H29*I29)</f>
        <v/>
      </c>
      <c r="R29" s="480">
        <f>IF(B29&lt;&gt;"Actif",0,H29*I29*J29)</f>
        <v/>
      </c>
      <c r="S29" s="479" t="n"/>
    </row>
    <row r="30">
      <c r="A30" s="479">
        <f>IF(C30="","",ROW()-4)</f>
        <v/>
      </c>
      <c r="B30" s="479" t="n"/>
      <c r="C30" s="479" t="n"/>
      <c r="D30" s="479" t="n"/>
      <c r="E30" s="479" t="n"/>
      <c r="F30" s="479" t="n"/>
      <c r="G30" s="479" t="n"/>
      <c r="H30" s="480" t="n"/>
      <c r="I30" s="554" t="n"/>
      <c r="J30" s="554" t="n"/>
      <c r="K30" s="555" t="n"/>
      <c r="L30" s="555" t="n"/>
      <c r="M30" s="479">
        <f>IF(K30="","",YEAR(K30))</f>
        <v/>
      </c>
      <c r="N30" s="479">
        <f>IF(K30="","",ROUNDUP(MONTH(K30)/3,0))</f>
        <v/>
      </c>
      <c r="O30" s="479">
        <f>IF(K30="","",IF(MONTH(K30)&lt;=6,1,2))</f>
        <v/>
      </c>
      <c r="P30" s="480">
        <f>IF(B30&lt;&gt;"Actif",0,H30*J30)</f>
        <v/>
      </c>
      <c r="Q30" s="480">
        <f>IF(B30&lt;&gt;"Actif",0,H30*I30)</f>
        <v/>
      </c>
      <c r="R30" s="480">
        <f>IF(B30&lt;&gt;"Actif",0,H30*I30*J30)</f>
        <v/>
      </c>
      <c r="S30" s="479" t="n"/>
    </row>
    <row r="31">
      <c r="A31" s="479">
        <f>IF(C31="","",ROW()-4)</f>
        <v/>
      </c>
      <c r="B31" s="479" t="n"/>
      <c r="C31" s="479" t="n"/>
      <c r="D31" s="479" t="n"/>
      <c r="E31" s="479" t="n"/>
      <c r="F31" s="479" t="n"/>
      <c r="G31" s="479" t="n"/>
      <c r="H31" s="480" t="n"/>
      <c r="I31" s="554" t="n"/>
      <c r="J31" s="554" t="n"/>
      <c r="K31" s="555" t="n"/>
      <c r="L31" s="555" t="n"/>
      <c r="M31" s="479">
        <f>IF(K31="","",YEAR(K31))</f>
        <v/>
      </c>
      <c r="N31" s="479">
        <f>IF(K31="","",ROUNDUP(MONTH(K31)/3,0))</f>
        <v/>
      </c>
      <c r="O31" s="479">
        <f>IF(K31="","",IF(MONTH(K31)&lt;=6,1,2))</f>
        <v/>
      </c>
      <c r="P31" s="480">
        <f>IF(B31&lt;&gt;"Actif",0,H31*J31)</f>
        <v/>
      </c>
      <c r="Q31" s="480">
        <f>IF(B31&lt;&gt;"Actif",0,H31*I31)</f>
        <v/>
      </c>
      <c r="R31" s="480">
        <f>IF(B31&lt;&gt;"Actif",0,H31*I31*J31)</f>
        <v/>
      </c>
      <c r="S31" s="479" t="n"/>
    </row>
    <row r="32">
      <c r="A32" s="479">
        <f>IF(C32="","",ROW()-4)</f>
        <v/>
      </c>
      <c r="B32" s="479" t="n"/>
      <c r="C32" s="479" t="n"/>
      <c r="D32" s="479" t="n"/>
      <c r="E32" s="479" t="n"/>
      <c r="F32" s="479" t="n"/>
      <c r="G32" s="479" t="n"/>
      <c r="H32" s="480" t="n"/>
      <c r="I32" s="554" t="n"/>
      <c r="J32" s="554" t="n"/>
      <c r="K32" s="555" t="n"/>
      <c r="L32" s="555" t="n"/>
      <c r="M32" s="479">
        <f>IF(K32="","",YEAR(K32))</f>
        <v/>
      </c>
      <c r="N32" s="479">
        <f>IF(K32="","",ROUNDUP(MONTH(K32)/3,0))</f>
        <v/>
      </c>
      <c r="O32" s="479">
        <f>IF(K32="","",IF(MONTH(K32)&lt;=6,1,2))</f>
        <v/>
      </c>
      <c r="P32" s="480">
        <f>IF(B32&lt;&gt;"Actif",0,H32*J32)</f>
        <v/>
      </c>
      <c r="Q32" s="480">
        <f>IF(B32&lt;&gt;"Actif",0,H32*I32)</f>
        <v/>
      </c>
      <c r="R32" s="480">
        <f>IF(B32&lt;&gt;"Actif",0,H32*I32*J32)</f>
        <v/>
      </c>
      <c r="S32" s="479" t="n"/>
    </row>
    <row r="33">
      <c r="A33" s="479">
        <f>IF(C33="","",ROW()-4)</f>
        <v/>
      </c>
      <c r="B33" s="479" t="n"/>
      <c r="C33" s="479" t="n"/>
      <c r="D33" s="479" t="n"/>
      <c r="E33" s="479" t="n"/>
      <c r="F33" s="479" t="n"/>
      <c r="G33" s="479" t="n"/>
      <c r="H33" s="480" t="n"/>
      <c r="I33" s="554" t="n"/>
      <c r="J33" s="554" t="n"/>
      <c r="K33" s="555" t="n"/>
      <c r="L33" s="555" t="n"/>
      <c r="M33" s="479">
        <f>IF(K33="","",YEAR(K33))</f>
        <v/>
      </c>
      <c r="N33" s="479">
        <f>IF(K33="","",ROUNDUP(MONTH(K33)/3,0))</f>
        <v/>
      </c>
      <c r="O33" s="479">
        <f>IF(K33="","",IF(MONTH(K33)&lt;=6,1,2))</f>
        <v/>
      </c>
      <c r="P33" s="480">
        <f>IF(B33&lt;&gt;"Actif",0,H33*J33)</f>
        <v/>
      </c>
      <c r="Q33" s="480">
        <f>IF(B33&lt;&gt;"Actif",0,H33*I33)</f>
        <v/>
      </c>
      <c r="R33" s="480">
        <f>IF(B33&lt;&gt;"Actif",0,H33*I33*J33)</f>
        <v/>
      </c>
      <c r="S33" s="479" t="n"/>
    </row>
    <row r="34">
      <c r="A34" s="479">
        <f>IF(C34="","",ROW()-4)</f>
        <v/>
      </c>
      <c r="B34" s="479" t="n"/>
      <c r="C34" s="479" t="n"/>
      <c r="D34" s="479" t="n"/>
      <c r="E34" s="479" t="n"/>
      <c r="F34" s="479" t="n"/>
      <c r="G34" s="479" t="n"/>
      <c r="H34" s="480" t="n"/>
      <c r="I34" s="554" t="n"/>
      <c r="J34" s="554" t="n"/>
      <c r="K34" s="555" t="n"/>
      <c r="L34" s="555" t="n"/>
      <c r="M34" s="479">
        <f>IF(K34="","",YEAR(K34))</f>
        <v/>
      </c>
      <c r="N34" s="479">
        <f>IF(K34="","",ROUNDUP(MONTH(K34)/3,0))</f>
        <v/>
      </c>
      <c r="O34" s="479">
        <f>IF(K34="","",IF(MONTH(K34)&lt;=6,1,2))</f>
        <v/>
      </c>
      <c r="P34" s="480">
        <f>IF(B34&lt;&gt;"Actif",0,H34*J34)</f>
        <v/>
      </c>
      <c r="Q34" s="480">
        <f>IF(B34&lt;&gt;"Actif",0,H34*I34)</f>
        <v/>
      </c>
      <c r="R34" s="480">
        <f>IF(B34&lt;&gt;"Actif",0,H34*I34*J34)</f>
        <v/>
      </c>
      <c r="S34" s="479" t="n"/>
    </row>
    <row r="35">
      <c r="A35" s="479">
        <f>IF(C35="","",ROW()-4)</f>
        <v/>
      </c>
      <c r="B35" s="479" t="n"/>
      <c r="C35" s="479" t="n"/>
      <c r="D35" s="479" t="n"/>
      <c r="E35" s="479" t="n"/>
      <c r="F35" s="479" t="n"/>
      <c r="G35" s="479" t="n"/>
      <c r="H35" s="480" t="n"/>
      <c r="I35" s="554" t="n"/>
      <c r="J35" s="554" t="n"/>
      <c r="K35" s="555" t="n"/>
      <c r="L35" s="555" t="n"/>
      <c r="M35" s="479">
        <f>IF(K35="","",YEAR(K35))</f>
        <v/>
      </c>
      <c r="N35" s="479">
        <f>IF(K35="","",ROUNDUP(MONTH(K35)/3,0))</f>
        <v/>
      </c>
      <c r="O35" s="479">
        <f>IF(K35="","",IF(MONTH(K35)&lt;=6,1,2))</f>
        <v/>
      </c>
      <c r="P35" s="480">
        <f>IF(B35&lt;&gt;"Actif",0,H35*J35)</f>
        <v/>
      </c>
      <c r="Q35" s="480">
        <f>IF(B35&lt;&gt;"Actif",0,H35*I35)</f>
        <v/>
      </c>
      <c r="R35" s="480">
        <f>IF(B35&lt;&gt;"Actif",0,H35*I35*J35)</f>
        <v/>
      </c>
      <c r="S35" s="479" t="n"/>
    </row>
    <row r="36">
      <c r="A36" s="479">
        <f>IF(C36="","",ROW()-4)</f>
        <v/>
      </c>
      <c r="B36" s="479" t="n"/>
      <c r="C36" s="479" t="n"/>
      <c r="D36" s="479" t="n"/>
      <c r="E36" s="479" t="n"/>
      <c r="F36" s="479" t="n"/>
      <c r="G36" s="479" t="n"/>
      <c r="H36" s="480" t="n"/>
      <c r="I36" s="554" t="n"/>
      <c r="J36" s="554" t="n"/>
      <c r="K36" s="555" t="n"/>
      <c r="L36" s="555" t="n"/>
      <c r="M36" s="479">
        <f>IF(K36="","",YEAR(K36))</f>
        <v/>
      </c>
      <c r="N36" s="479">
        <f>IF(K36="","",ROUNDUP(MONTH(K36)/3,0))</f>
        <v/>
      </c>
      <c r="O36" s="479">
        <f>IF(K36="","",IF(MONTH(K36)&lt;=6,1,2))</f>
        <v/>
      </c>
      <c r="P36" s="480">
        <f>IF(B36&lt;&gt;"Actif",0,H36*J36)</f>
        <v/>
      </c>
      <c r="Q36" s="480">
        <f>IF(B36&lt;&gt;"Actif",0,H36*I36)</f>
        <v/>
      </c>
      <c r="R36" s="480">
        <f>IF(B36&lt;&gt;"Actif",0,H36*I36*J36)</f>
        <v/>
      </c>
      <c r="S36" s="479" t="n"/>
    </row>
    <row r="37">
      <c r="A37" s="479">
        <f>IF(C37="","",ROW()-4)</f>
        <v/>
      </c>
      <c r="B37" s="479" t="n"/>
      <c r="C37" s="479" t="n"/>
      <c r="D37" s="479" t="n"/>
      <c r="E37" s="479" t="n"/>
      <c r="F37" s="479" t="n"/>
      <c r="G37" s="479" t="n"/>
      <c r="H37" s="480" t="n"/>
      <c r="I37" s="554" t="n"/>
      <c r="J37" s="554" t="n"/>
      <c r="K37" s="555" t="n"/>
      <c r="L37" s="555" t="n"/>
      <c r="M37" s="479">
        <f>IF(K37="","",YEAR(K37))</f>
        <v/>
      </c>
      <c r="N37" s="479">
        <f>IF(K37="","",ROUNDUP(MONTH(K37)/3,0))</f>
        <v/>
      </c>
      <c r="O37" s="479">
        <f>IF(K37="","",IF(MONTH(K37)&lt;=6,1,2))</f>
        <v/>
      </c>
      <c r="P37" s="480">
        <f>IF(B37&lt;&gt;"Actif",0,H37*J37)</f>
        <v/>
      </c>
      <c r="Q37" s="480">
        <f>IF(B37&lt;&gt;"Actif",0,H37*I37)</f>
        <v/>
      </c>
      <c r="R37" s="480">
        <f>IF(B37&lt;&gt;"Actif",0,H37*I37*J37)</f>
        <v/>
      </c>
      <c r="S37" s="479" t="n"/>
    </row>
    <row r="38">
      <c r="A38" s="479">
        <f>IF(C38="","",ROW()-4)</f>
        <v/>
      </c>
      <c r="B38" s="479" t="n"/>
      <c r="C38" s="479" t="n"/>
      <c r="D38" s="479" t="n"/>
      <c r="E38" s="479" t="n"/>
      <c r="F38" s="479" t="n"/>
      <c r="G38" s="479" t="n"/>
      <c r="H38" s="480" t="n"/>
      <c r="I38" s="554" t="n"/>
      <c r="J38" s="554" t="n"/>
      <c r="K38" s="555" t="n"/>
      <c r="L38" s="555" t="n"/>
      <c r="M38" s="479">
        <f>IF(K38="","",YEAR(K38))</f>
        <v/>
      </c>
      <c r="N38" s="479">
        <f>IF(K38="","",ROUNDUP(MONTH(K38)/3,0))</f>
        <v/>
      </c>
      <c r="O38" s="479">
        <f>IF(K38="","",IF(MONTH(K38)&lt;=6,1,2))</f>
        <v/>
      </c>
      <c r="P38" s="480">
        <f>IF(B38&lt;&gt;"Actif",0,H38*J38)</f>
        <v/>
      </c>
      <c r="Q38" s="480">
        <f>IF(B38&lt;&gt;"Actif",0,H38*I38)</f>
        <v/>
      </c>
      <c r="R38" s="480">
        <f>IF(B38&lt;&gt;"Actif",0,H38*I38*J38)</f>
        <v/>
      </c>
      <c r="S38" s="479" t="n"/>
    </row>
    <row r="39">
      <c r="A39" s="479">
        <f>IF(C39="","",ROW()-4)</f>
        <v/>
      </c>
      <c r="B39" s="479" t="n"/>
      <c r="C39" s="479" t="n"/>
      <c r="D39" s="479" t="n"/>
      <c r="E39" s="479" t="n"/>
      <c r="F39" s="479" t="n"/>
      <c r="G39" s="479" t="n"/>
      <c r="H39" s="480" t="n"/>
      <c r="I39" s="554" t="n"/>
      <c r="J39" s="554" t="n"/>
      <c r="K39" s="555" t="n"/>
      <c r="L39" s="555" t="n"/>
      <c r="M39" s="479">
        <f>IF(K39="","",YEAR(K39))</f>
        <v/>
      </c>
      <c r="N39" s="479">
        <f>IF(K39="","",ROUNDUP(MONTH(K39)/3,0))</f>
        <v/>
      </c>
      <c r="O39" s="479">
        <f>IF(K39="","",IF(MONTH(K39)&lt;=6,1,2))</f>
        <v/>
      </c>
      <c r="P39" s="480">
        <f>IF(B39&lt;&gt;"Actif",0,H39*J39)</f>
        <v/>
      </c>
      <c r="Q39" s="480">
        <f>IF(B39&lt;&gt;"Actif",0,H39*I39)</f>
        <v/>
      </c>
      <c r="R39" s="480">
        <f>IF(B39&lt;&gt;"Actif",0,H39*I39*J39)</f>
        <v/>
      </c>
      <c r="S39" s="479" t="n"/>
    </row>
    <row r="40">
      <c r="A40" s="479">
        <f>IF(C40="","",ROW()-4)</f>
        <v/>
      </c>
      <c r="B40" s="479" t="n"/>
      <c r="C40" s="479" t="n"/>
      <c r="D40" s="479" t="n"/>
      <c r="E40" s="479" t="n"/>
      <c r="F40" s="479" t="n"/>
      <c r="G40" s="479" t="n"/>
      <c r="H40" s="480" t="n"/>
      <c r="I40" s="554" t="n"/>
      <c r="J40" s="554" t="n"/>
      <c r="K40" s="555" t="n"/>
      <c r="L40" s="555" t="n"/>
      <c r="M40" s="479">
        <f>IF(K40="","",YEAR(K40))</f>
        <v/>
      </c>
      <c r="N40" s="479">
        <f>IF(K40="","",ROUNDUP(MONTH(K40)/3,0))</f>
        <v/>
      </c>
      <c r="O40" s="479">
        <f>IF(K40="","",IF(MONTH(K40)&lt;=6,1,2))</f>
        <v/>
      </c>
      <c r="P40" s="480">
        <f>IF(B40&lt;&gt;"Actif",0,H40*J40)</f>
        <v/>
      </c>
      <c r="Q40" s="480">
        <f>IF(B40&lt;&gt;"Actif",0,H40*I40)</f>
        <v/>
      </c>
      <c r="R40" s="480">
        <f>IF(B40&lt;&gt;"Actif",0,H40*I40*J40)</f>
        <v/>
      </c>
      <c r="S40" s="479" t="n"/>
    </row>
    <row r="41">
      <c r="A41" s="479">
        <f>IF(C41="","",ROW()-4)</f>
        <v/>
      </c>
      <c r="B41" s="479" t="n"/>
      <c r="C41" s="479" t="n"/>
      <c r="D41" s="479" t="n"/>
      <c r="E41" s="479" t="n"/>
      <c r="F41" s="479" t="n"/>
      <c r="G41" s="479" t="n"/>
      <c r="H41" s="480" t="n"/>
      <c r="I41" s="554" t="n"/>
      <c r="J41" s="554" t="n"/>
      <c r="K41" s="555" t="n"/>
      <c r="L41" s="555" t="n"/>
      <c r="M41" s="479">
        <f>IF(K41="","",YEAR(K41))</f>
        <v/>
      </c>
      <c r="N41" s="479">
        <f>IF(K41="","",ROUNDUP(MONTH(K41)/3,0))</f>
        <v/>
      </c>
      <c r="O41" s="479">
        <f>IF(K41="","",IF(MONTH(K41)&lt;=6,1,2))</f>
        <v/>
      </c>
      <c r="P41" s="480">
        <f>IF(B41&lt;&gt;"Actif",0,H41*J41)</f>
        <v/>
      </c>
      <c r="Q41" s="480">
        <f>IF(B41&lt;&gt;"Actif",0,H41*I41)</f>
        <v/>
      </c>
      <c r="R41" s="480">
        <f>IF(B41&lt;&gt;"Actif",0,H41*I41*J41)</f>
        <v/>
      </c>
      <c r="S41" s="479" t="n"/>
    </row>
    <row r="42">
      <c r="A42" s="479">
        <f>IF(C42="","",ROW()-4)</f>
        <v/>
      </c>
      <c r="B42" s="479" t="n"/>
      <c r="C42" s="479" t="n"/>
      <c r="D42" s="479" t="n"/>
      <c r="E42" s="479" t="n"/>
      <c r="F42" s="479" t="n"/>
      <c r="G42" s="479" t="n"/>
      <c r="H42" s="480" t="n"/>
      <c r="I42" s="554" t="n"/>
      <c r="J42" s="554" t="n"/>
      <c r="K42" s="555" t="n"/>
      <c r="L42" s="555" t="n"/>
      <c r="M42" s="479">
        <f>IF(K42="","",YEAR(K42))</f>
        <v/>
      </c>
      <c r="N42" s="479">
        <f>IF(K42="","",ROUNDUP(MONTH(K42)/3,0))</f>
        <v/>
      </c>
      <c r="O42" s="479">
        <f>IF(K42="","",IF(MONTH(K42)&lt;=6,1,2))</f>
        <v/>
      </c>
      <c r="P42" s="480">
        <f>IF(B42&lt;&gt;"Actif",0,H42*J42)</f>
        <v/>
      </c>
      <c r="Q42" s="480">
        <f>IF(B42&lt;&gt;"Actif",0,H42*I42)</f>
        <v/>
      </c>
      <c r="R42" s="480">
        <f>IF(B42&lt;&gt;"Actif",0,H42*I42*J42)</f>
        <v/>
      </c>
      <c r="S42" s="479" t="n"/>
    </row>
    <row r="43">
      <c r="A43" s="479">
        <f>IF(C43="","",ROW()-4)</f>
        <v/>
      </c>
      <c r="B43" s="479" t="n"/>
      <c r="C43" s="479" t="n"/>
      <c r="D43" s="479" t="n"/>
      <c r="E43" s="479" t="n"/>
      <c r="F43" s="479" t="n"/>
      <c r="G43" s="479" t="n"/>
      <c r="H43" s="480" t="n"/>
      <c r="I43" s="554" t="n"/>
      <c r="J43" s="554" t="n"/>
      <c r="K43" s="555" t="n"/>
      <c r="L43" s="555" t="n"/>
      <c r="M43" s="479">
        <f>IF(K43="","",YEAR(K43))</f>
        <v/>
      </c>
      <c r="N43" s="479">
        <f>IF(K43="","",ROUNDUP(MONTH(K43)/3,0))</f>
        <v/>
      </c>
      <c r="O43" s="479">
        <f>IF(K43="","",IF(MONTH(K43)&lt;=6,1,2))</f>
        <v/>
      </c>
      <c r="P43" s="480">
        <f>IF(B43&lt;&gt;"Actif",0,H43*J43)</f>
        <v/>
      </c>
      <c r="Q43" s="480">
        <f>IF(B43&lt;&gt;"Actif",0,H43*I43)</f>
        <v/>
      </c>
      <c r="R43" s="480">
        <f>IF(B43&lt;&gt;"Actif",0,H43*I43*J43)</f>
        <v/>
      </c>
      <c r="S43" s="479" t="n"/>
    </row>
    <row r="44">
      <c r="A44" s="479">
        <f>IF(C44="","",ROW()-4)</f>
        <v/>
      </c>
      <c r="B44" s="479" t="n"/>
      <c r="C44" s="479" t="n"/>
      <c r="D44" s="479" t="n"/>
      <c r="E44" s="479" t="n"/>
      <c r="F44" s="479" t="n"/>
      <c r="G44" s="479" t="n"/>
      <c r="H44" s="480" t="n"/>
      <c r="I44" s="554" t="n"/>
      <c r="J44" s="554" t="n"/>
      <c r="K44" s="555" t="n"/>
      <c r="L44" s="555" t="n"/>
      <c r="M44" s="479">
        <f>IF(K44="","",YEAR(K44))</f>
        <v/>
      </c>
      <c r="N44" s="479">
        <f>IF(K44="","",ROUNDUP(MONTH(K44)/3,0))</f>
        <v/>
      </c>
      <c r="O44" s="479">
        <f>IF(K44="","",IF(MONTH(K44)&lt;=6,1,2))</f>
        <v/>
      </c>
      <c r="P44" s="480">
        <f>IF(B44&lt;&gt;"Actif",0,H44*J44)</f>
        <v/>
      </c>
      <c r="Q44" s="480">
        <f>IF(B44&lt;&gt;"Actif",0,H44*I44)</f>
        <v/>
      </c>
      <c r="R44" s="480">
        <f>IF(B44&lt;&gt;"Actif",0,H44*I44*J44)</f>
        <v/>
      </c>
      <c r="S44" s="479" t="n"/>
    </row>
    <row r="45">
      <c r="A45" s="479">
        <f>IF(C45="","",ROW()-4)</f>
        <v/>
      </c>
      <c r="B45" s="479" t="n"/>
      <c r="C45" s="479" t="n"/>
      <c r="D45" s="479" t="n"/>
      <c r="E45" s="479" t="n"/>
      <c r="F45" s="479" t="n"/>
      <c r="G45" s="479" t="n"/>
      <c r="H45" s="480" t="n"/>
      <c r="I45" s="554" t="n"/>
      <c r="J45" s="554" t="n"/>
      <c r="K45" s="555" t="n"/>
      <c r="L45" s="555" t="n"/>
      <c r="M45" s="479">
        <f>IF(K45="","",YEAR(K45))</f>
        <v/>
      </c>
      <c r="N45" s="479">
        <f>IF(K45="","",ROUNDUP(MONTH(K45)/3,0))</f>
        <v/>
      </c>
      <c r="O45" s="479">
        <f>IF(K45="","",IF(MONTH(K45)&lt;=6,1,2))</f>
        <v/>
      </c>
      <c r="P45" s="480">
        <f>IF(B45&lt;&gt;"Actif",0,H45*J45)</f>
        <v/>
      </c>
      <c r="Q45" s="480">
        <f>IF(B45&lt;&gt;"Actif",0,H45*I45)</f>
        <v/>
      </c>
      <c r="R45" s="480">
        <f>IF(B45&lt;&gt;"Actif",0,H45*I45*J45)</f>
        <v/>
      </c>
      <c r="S45" s="479" t="n"/>
    </row>
    <row r="46">
      <c r="A46" s="479">
        <f>IF(C46="","",ROW()-4)</f>
        <v/>
      </c>
      <c r="B46" s="479" t="n"/>
      <c r="C46" s="479" t="n"/>
      <c r="D46" s="479" t="n"/>
      <c r="E46" s="479" t="n"/>
      <c r="F46" s="479" t="n"/>
      <c r="G46" s="479" t="n"/>
      <c r="H46" s="480" t="n"/>
      <c r="I46" s="554" t="n"/>
      <c r="J46" s="554" t="n"/>
      <c r="K46" s="555" t="n"/>
      <c r="L46" s="555" t="n"/>
      <c r="M46" s="479">
        <f>IF(K46="","",YEAR(K46))</f>
        <v/>
      </c>
      <c r="N46" s="479">
        <f>IF(K46="","",ROUNDUP(MONTH(K46)/3,0))</f>
        <v/>
      </c>
      <c r="O46" s="479">
        <f>IF(K46="","",IF(MONTH(K46)&lt;=6,1,2))</f>
        <v/>
      </c>
      <c r="P46" s="480">
        <f>IF(B46&lt;&gt;"Actif",0,H46*J46)</f>
        <v/>
      </c>
      <c r="Q46" s="480">
        <f>IF(B46&lt;&gt;"Actif",0,H46*I46)</f>
        <v/>
      </c>
      <c r="R46" s="480">
        <f>IF(B46&lt;&gt;"Actif",0,H46*I46*J46)</f>
        <v/>
      </c>
      <c r="S46" s="479" t="n"/>
    </row>
    <row r="47">
      <c r="A47" s="479">
        <f>IF(C47="","",ROW()-4)</f>
        <v/>
      </c>
      <c r="B47" s="479" t="n"/>
      <c r="C47" s="479" t="n"/>
      <c r="D47" s="479" t="n"/>
      <c r="E47" s="479" t="n"/>
      <c r="F47" s="479" t="n"/>
      <c r="G47" s="479" t="n"/>
      <c r="H47" s="480" t="n"/>
      <c r="I47" s="554" t="n"/>
      <c r="J47" s="554" t="n"/>
      <c r="K47" s="555" t="n"/>
      <c r="L47" s="555" t="n"/>
      <c r="M47" s="479">
        <f>IF(K47="","",YEAR(K47))</f>
        <v/>
      </c>
      <c r="N47" s="479">
        <f>IF(K47="","",ROUNDUP(MONTH(K47)/3,0))</f>
        <v/>
      </c>
      <c r="O47" s="479">
        <f>IF(K47="","",IF(MONTH(K47)&lt;=6,1,2))</f>
        <v/>
      </c>
      <c r="P47" s="480">
        <f>IF(B47&lt;&gt;"Actif",0,H47*J47)</f>
        <v/>
      </c>
      <c r="Q47" s="480">
        <f>IF(B47&lt;&gt;"Actif",0,H47*I47)</f>
        <v/>
      </c>
      <c r="R47" s="480">
        <f>IF(B47&lt;&gt;"Actif",0,H47*I47*J47)</f>
        <v/>
      </c>
      <c r="S47" s="479" t="n"/>
    </row>
    <row r="48">
      <c r="A48" s="479">
        <f>IF(C48="","",ROW()-4)</f>
        <v/>
      </c>
      <c r="B48" s="479" t="n"/>
      <c r="C48" s="479" t="n"/>
      <c r="D48" s="479" t="n"/>
      <c r="E48" s="479" t="n"/>
      <c r="F48" s="479" t="n"/>
      <c r="G48" s="479" t="n"/>
      <c r="H48" s="480" t="n"/>
      <c r="I48" s="554" t="n"/>
      <c r="J48" s="554" t="n"/>
      <c r="K48" s="555" t="n"/>
      <c r="L48" s="555" t="n"/>
      <c r="M48" s="479">
        <f>IF(K48="","",YEAR(K48))</f>
        <v/>
      </c>
      <c r="N48" s="479">
        <f>IF(K48="","",ROUNDUP(MONTH(K48)/3,0))</f>
        <v/>
      </c>
      <c r="O48" s="479">
        <f>IF(K48="","",IF(MONTH(K48)&lt;=6,1,2))</f>
        <v/>
      </c>
      <c r="P48" s="480">
        <f>IF(B48&lt;&gt;"Actif",0,H48*J48)</f>
        <v/>
      </c>
      <c r="Q48" s="480">
        <f>IF(B48&lt;&gt;"Actif",0,H48*I48)</f>
        <v/>
      </c>
      <c r="R48" s="480">
        <f>IF(B48&lt;&gt;"Actif",0,H48*I48*J48)</f>
        <v/>
      </c>
      <c r="S48" s="479" t="n"/>
    </row>
    <row r="49">
      <c r="A49" s="479">
        <f>IF(C49="","",ROW()-4)</f>
        <v/>
      </c>
      <c r="B49" s="479" t="n"/>
      <c r="C49" s="479" t="n"/>
      <c r="D49" s="479" t="n"/>
      <c r="E49" s="479" t="n"/>
      <c r="F49" s="479" t="n"/>
      <c r="G49" s="479" t="n"/>
      <c r="H49" s="480" t="n"/>
      <c r="I49" s="554" t="n"/>
      <c r="J49" s="554" t="n"/>
      <c r="K49" s="555" t="n"/>
      <c r="L49" s="555" t="n"/>
      <c r="M49" s="479">
        <f>IF(K49="","",YEAR(K49))</f>
        <v/>
      </c>
      <c r="N49" s="479">
        <f>IF(K49="","",ROUNDUP(MONTH(K49)/3,0))</f>
        <v/>
      </c>
      <c r="O49" s="479">
        <f>IF(K49="","",IF(MONTH(K49)&lt;=6,1,2))</f>
        <v/>
      </c>
      <c r="P49" s="480">
        <f>IF(B49&lt;&gt;"Actif",0,H49*J49)</f>
        <v/>
      </c>
      <c r="Q49" s="480">
        <f>IF(B49&lt;&gt;"Actif",0,H49*I49)</f>
        <v/>
      </c>
      <c r="R49" s="480">
        <f>IF(B49&lt;&gt;"Actif",0,H49*I49*J49)</f>
        <v/>
      </c>
      <c r="S49" s="479" t="n"/>
    </row>
    <row r="50">
      <c r="A50" s="479">
        <f>IF(C50="","",ROW()-4)</f>
        <v/>
      </c>
      <c r="B50" s="479" t="n"/>
      <c r="C50" s="479" t="n"/>
      <c r="D50" s="479" t="n"/>
      <c r="E50" s="479" t="n"/>
      <c r="F50" s="479" t="n"/>
      <c r="G50" s="479" t="n"/>
      <c r="H50" s="480" t="n"/>
      <c r="I50" s="554" t="n"/>
      <c r="J50" s="554" t="n"/>
      <c r="K50" s="555" t="n"/>
      <c r="L50" s="555" t="n"/>
      <c r="M50" s="479">
        <f>IF(K50="","",YEAR(K50))</f>
        <v/>
      </c>
      <c r="N50" s="479">
        <f>IF(K50="","",ROUNDUP(MONTH(K50)/3,0))</f>
        <v/>
      </c>
      <c r="O50" s="479">
        <f>IF(K50="","",IF(MONTH(K50)&lt;=6,1,2))</f>
        <v/>
      </c>
      <c r="P50" s="480">
        <f>IF(B50&lt;&gt;"Actif",0,H50*J50)</f>
        <v/>
      </c>
      <c r="Q50" s="480">
        <f>IF(B50&lt;&gt;"Actif",0,H50*I50)</f>
        <v/>
      </c>
      <c r="R50" s="480">
        <f>IF(B50&lt;&gt;"Actif",0,H50*I50*J50)</f>
        <v/>
      </c>
      <c r="S50" s="479" t="n"/>
    </row>
    <row r="51">
      <c r="A51" s="479">
        <f>IF(C51="","",ROW()-4)</f>
        <v/>
      </c>
      <c r="B51" s="479" t="n"/>
      <c r="C51" s="479" t="n"/>
      <c r="D51" s="479" t="n"/>
      <c r="E51" s="479" t="n"/>
      <c r="F51" s="479" t="n"/>
      <c r="G51" s="479" t="n"/>
      <c r="H51" s="480" t="n"/>
      <c r="I51" s="554" t="n"/>
      <c r="J51" s="554" t="n"/>
      <c r="K51" s="555" t="n"/>
      <c r="L51" s="555" t="n"/>
      <c r="M51" s="479">
        <f>IF(K51="","",YEAR(K51))</f>
        <v/>
      </c>
      <c r="N51" s="479">
        <f>IF(K51="","",ROUNDUP(MONTH(K51)/3,0))</f>
        <v/>
      </c>
      <c r="O51" s="479">
        <f>IF(K51="","",IF(MONTH(K51)&lt;=6,1,2))</f>
        <v/>
      </c>
      <c r="P51" s="480">
        <f>IF(B51&lt;&gt;"Actif",0,H51*J51)</f>
        <v/>
      </c>
      <c r="Q51" s="480">
        <f>IF(B51&lt;&gt;"Actif",0,H51*I51)</f>
        <v/>
      </c>
      <c r="R51" s="480">
        <f>IF(B51&lt;&gt;"Actif",0,H51*I51*J51)</f>
        <v/>
      </c>
      <c r="S51" s="479" t="n"/>
    </row>
    <row r="52">
      <c r="A52" s="479">
        <f>IF(C52="","",ROW()-4)</f>
        <v/>
      </c>
      <c r="B52" s="479" t="n"/>
      <c r="C52" s="479" t="n"/>
      <c r="D52" s="479" t="n"/>
      <c r="E52" s="479" t="n"/>
      <c r="F52" s="479" t="n"/>
      <c r="G52" s="479" t="n"/>
      <c r="H52" s="480" t="n"/>
      <c r="I52" s="554" t="n"/>
      <c r="J52" s="554" t="n"/>
      <c r="K52" s="555" t="n"/>
      <c r="L52" s="555" t="n"/>
      <c r="M52" s="479">
        <f>IF(K52="","",YEAR(K52))</f>
        <v/>
      </c>
      <c r="N52" s="479">
        <f>IF(K52="","",ROUNDUP(MONTH(K52)/3,0))</f>
        <v/>
      </c>
      <c r="O52" s="479">
        <f>IF(K52="","",IF(MONTH(K52)&lt;=6,1,2))</f>
        <v/>
      </c>
      <c r="P52" s="480">
        <f>IF(B52&lt;&gt;"Actif",0,H52*J52)</f>
        <v/>
      </c>
      <c r="Q52" s="480">
        <f>IF(B52&lt;&gt;"Actif",0,H52*I52)</f>
        <v/>
      </c>
      <c r="R52" s="480">
        <f>IF(B52&lt;&gt;"Actif",0,H52*I52*J52)</f>
        <v/>
      </c>
      <c r="S52" s="479" t="n"/>
    </row>
    <row r="53">
      <c r="A53" s="479">
        <f>IF(C53="","",ROW()-4)</f>
        <v/>
      </c>
      <c r="B53" s="479" t="n"/>
      <c r="C53" s="479" t="n"/>
      <c r="D53" s="479" t="n"/>
      <c r="E53" s="479" t="n"/>
      <c r="F53" s="479" t="n"/>
      <c r="G53" s="479" t="n"/>
      <c r="H53" s="480" t="n"/>
      <c r="I53" s="554" t="n"/>
      <c r="J53" s="554" t="n"/>
      <c r="K53" s="555" t="n"/>
      <c r="L53" s="555" t="n"/>
      <c r="M53" s="479">
        <f>IF(K53="","",YEAR(K53))</f>
        <v/>
      </c>
      <c r="N53" s="479">
        <f>IF(K53="","",ROUNDUP(MONTH(K53)/3,0))</f>
        <v/>
      </c>
      <c r="O53" s="479">
        <f>IF(K53="","",IF(MONTH(K53)&lt;=6,1,2))</f>
        <v/>
      </c>
      <c r="P53" s="480">
        <f>IF(B53&lt;&gt;"Actif",0,H53*J53)</f>
        <v/>
      </c>
      <c r="Q53" s="480">
        <f>IF(B53&lt;&gt;"Actif",0,H53*I53)</f>
        <v/>
      </c>
      <c r="R53" s="480">
        <f>IF(B53&lt;&gt;"Actif",0,H53*I53*J53)</f>
        <v/>
      </c>
      <c r="S53" s="479" t="n"/>
    </row>
    <row r="54">
      <c r="A54" s="479">
        <f>IF(C54="","",ROW()-4)</f>
        <v/>
      </c>
      <c r="B54" s="479" t="n"/>
      <c r="C54" s="479" t="n"/>
      <c r="D54" s="479" t="n"/>
      <c r="E54" s="479" t="n"/>
      <c r="F54" s="479" t="n"/>
      <c r="G54" s="479" t="n"/>
      <c r="H54" s="480" t="n"/>
      <c r="I54" s="554" t="n"/>
      <c r="J54" s="554" t="n"/>
      <c r="K54" s="555" t="n"/>
      <c r="L54" s="555" t="n"/>
      <c r="M54" s="479">
        <f>IF(K54="","",YEAR(K54))</f>
        <v/>
      </c>
      <c r="N54" s="479">
        <f>IF(K54="","",ROUNDUP(MONTH(K54)/3,0))</f>
        <v/>
      </c>
      <c r="O54" s="479">
        <f>IF(K54="","",IF(MONTH(K54)&lt;=6,1,2))</f>
        <v/>
      </c>
      <c r="P54" s="480">
        <f>IF(B54&lt;&gt;"Actif",0,H54*J54)</f>
        <v/>
      </c>
      <c r="Q54" s="480">
        <f>IF(B54&lt;&gt;"Actif",0,H54*I54)</f>
        <v/>
      </c>
      <c r="R54" s="480">
        <f>IF(B54&lt;&gt;"Actif",0,H54*I54*J54)</f>
        <v/>
      </c>
      <c r="S54" s="479" t="n"/>
    </row>
    <row r="55">
      <c r="A55" s="479">
        <f>IF(C55="","",ROW()-4)</f>
        <v/>
      </c>
      <c r="B55" s="479" t="n"/>
      <c r="C55" s="479" t="n"/>
      <c r="D55" s="479" t="n"/>
      <c r="E55" s="479" t="n"/>
      <c r="F55" s="479" t="n"/>
      <c r="G55" s="479" t="n"/>
      <c r="H55" s="480" t="n"/>
      <c r="I55" s="554" t="n"/>
      <c r="J55" s="554" t="n"/>
      <c r="K55" s="555" t="n"/>
      <c r="L55" s="555" t="n"/>
      <c r="M55" s="479">
        <f>IF(K55="","",YEAR(K55))</f>
        <v/>
      </c>
      <c r="N55" s="479">
        <f>IF(K55="","",ROUNDUP(MONTH(K55)/3,0))</f>
        <v/>
      </c>
      <c r="O55" s="479">
        <f>IF(K55="","",IF(MONTH(K55)&lt;=6,1,2))</f>
        <v/>
      </c>
      <c r="P55" s="480">
        <f>IF(B55&lt;&gt;"Actif",0,H55*J55)</f>
        <v/>
      </c>
      <c r="Q55" s="480">
        <f>IF(B55&lt;&gt;"Actif",0,H55*I55)</f>
        <v/>
      </c>
      <c r="R55" s="480">
        <f>IF(B55&lt;&gt;"Actif",0,H55*I55*J55)</f>
        <v/>
      </c>
      <c r="S55" s="479" t="n"/>
    </row>
    <row r="56">
      <c r="A56" s="479">
        <f>IF(C56="","",ROW()-4)</f>
        <v/>
      </c>
      <c r="B56" s="479" t="n"/>
      <c r="C56" s="479" t="n"/>
      <c r="D56" s="479" t="n"/>
      <c r="E56" s="479" t="n"/>
      <c r="F56" s="479" t="n"/>
      <c r="G56" s="479" t="n"/>
      <c r="H56" s="480" t="n"/>
      <c r="I56" s="554" t="n"/>
      <c r="J56" s="554" t="n"/>
      <c r="K56" s="555" t="n"/>
      <c r="L56" s="555" t="n"/>
      <c r="M56" s="479">
        <f>IF(K56="","",YEAR(K56))</f>
        <v/>
      </c>
      <c r="N56" s="479">
        <f>IF(K56="","",ROUNDUP(MONTH(K56)/3,0))</f>
        <v/>
      </c>
      <c r="O56" s="479">
        <f>IF(K56="","",IF(MONTH(K56)&lt;=6,1,2))</f>
        <v/>
      </c>
      <c r="P56" s="480">
        <f>IF(B56&lt;&gt;"Actif",0,H56*J56)</f>
        <v/>
      </c>
      <c r="Q56" s="480">
        <f>IF(B56&lt;&gt;"Actif",0,H56*I56)</f>
        <v/>
      </c>
      <c r="R56" s="480">
        <f>IF(B56&lt;&gt;"Actif",0,H56*I56*J56)</f>
        <v/>
      </c>
      <c r="S56" s="479" t="n"/>
    </row>
    <row r="57">
      <c r="A57" s="479">
        <f>IF(C57="","",ROW()-4)</f>
        <v/>
      </c>
      <c r="B57" s="479" t="n"/>
      <c r="C57" s="479" t="n"/>
      <c r="D57" s="479" t="n"/>
      <c r="E57" s="479" t="n"/>
      <c r="F57" s="479" t="n"/>
      <c r="G57" s="479" t="n"/>
      <c r="H57" s="480" t="n"/>
      <c r="I57" s="554" t="n"/>
      <c r="J57" s="554" t="n"/>
      <c r="K57" s="555" t="n"/>
      <c r="L57" s="555" t="n"/>
      <c r="M57" s="479">
        <f>IF(K57="","",YEAR(K57))</f>
        <v/>
      </c>
      <c r="N57" s="479">
        <f>IF(K57="","",ROUNDUP(MONTH(K57)/3,0))</f>
        <v/>
      </c>
      <c r="O57" s="479">
        <f>IF(K57="","",IF(MONTH(K57)&lt;=6,1,2))</f>
        <v/>
      </c>
      <c r="P57" s="480">
        <f>IF(B57&lt;&gt;"Actif",0,H57*J57)</f>
        <v/>
      </c>
      <c r="Q57" s="480">
        <f>IF(B57&lt;&gt;"Actif",0,H57*I57)</f>
        <v/>
      </c>
      <c r="R57" s="480">
        <f>IF(B57&lt;&gt;"Actif",0,H57*I57*J57)</f>
        <v/>
      </c>
      <c r="S57" s="479" t="n"/>
    </row>
    <row r="58">
      <c r="A58" s="479">
        <f>IF(C58="","",ROW()-4)</f>
        <v/>
      </c>
      <c r="B58" s="479" t="n"/>
      <c r="C58" s="479" t="n"/>
      <c r="D58" s="479" t="n"/>
      <c r="E58" s="479" t="n"/>
      <c r="F58" s="479" t="n"/>
      <c r="G58" s="479" t="n"/>
      <c r="H58" s="480" t="n"/>
      <c r="I58" s="554" t="n"/>
      <c r="J58" s="554" t="n"/>
      <c r="K58" s="555" t="n"/>
      <c r="L58" s="555" t="n"/>
      <c r="M58" s="479">
        <f>IF(K58="","",YEAR(K58))</f>
        <v/>
      </c>
      <c r="N58" s="479">
        <f>IF(K58="","",ROUNDUP(MONTH(K58)/3,0))</f>
        <v/>
      </c>
      <c r="O58" s="479">
        <f>IF(K58="","",IF(MONTH(K58)&lt;=6,1,2))</f>
        <v/>
      </c>
      <c r="P58" s="480">
        <f>IF(B58&lt;&gt;"Actif",0,H58*J58)</f>
        <v/>
      </c>
      <c r="Q58" s="480">
        <f>IF(B58&lt;&gt;"Actif",0,H58*I58)</f>
        <v/>
      </c>
      <c r="R58" s="480">
        <f>IF(B58&lt;&gt;"Actif",0,H58*I58*J58)</f>
        <v/>
      </c>
      <c r="S58" s="479" t="n"/>
    </row>
    <row r="59">
      <c r="A59" s="479">
        <f>IF(C59="","",ROW()-4)</f>
        <v/>
      </c>
      <c r="B59" s="479" t="n"/>
      <c r="C59" s="479" t="n"/>
      <c r="D59" s="479" t="n"/>
      <c r="E59" s="479" t="n"/>
      <c r="F59" s="479" t="n"/>
      <c r="G59" s="479" t="n"/>
      <c r="H59" s="480" t="n"/>
      <c r="I59" s="554" t="n"/>
      <c r="J59" s="554" t="n"/>
      <c r="K59" s="555" t="n"/>
      <c r="L59" s="555" t="n"/>
      <c r="M59" s="479">
        <f>IF(K59="","",YEAR(K59))</f>
        <v/>
      </c>
      <c r="N59" s="479">
        <f>IF(K59="","",ROUNDUP(MONTH(K59)/3,0))</f>
        <v/>
      </c>
      <c r="O59" s="479">
        <f>IF(K59="","",IF(MONTH(K59)&lt;=6,1,2))</f>
        <v/>
      </c>
      <c r="P59" s="480">
        <f>IF(B59&lt;&gt;"Actif",0,H59*J59)</f>
        <v/>
      </c>
      <c r="Q59" s="480">
        <f>IF(B59&lt;&gt;"Actif",0,H59*I59)</f>
        <v/>
      </c>
      <c r="R59" s="480">
        <f>IF(B59&lt;&gt;"Actif",0,H59*I59*J59)</f>
        <v/>
      </c>
      <c r="S59" s="479" t="n"/>
    </row>
    <row r="60">
      <c r="A60" s="479">
        <f>IF(C60="","",ROW()-4)</f>
        <v/>
      </c>
      <c r="B60" s="479" t="n"/>
      <c r="C60" s="479" t="n"/>
      <c r="D60" s="479" t="n"/>
      <c r="E60" s="479" t="n"/>
      <c r="F60" s="479" t="n"/>
      <c r="G60" s="479" t="n"/>
      <c r="H60" s="480" t="n"/>
      <c r="I60" s="554" t="n"/>
      <c r="J60" s="554" t="n"/>
      <c r="K60" s="555" t="n"/>
      <c r="L60" s="555" t="n"/>
      <c r="M60" s="479">
        <f>IF(K60="","",YEAR(K60))</f>
        <v/>
      </c>
      <c r="N60" s="479">
        <f>IF(K60="","",ROUNDUP(MONTH(K60)/3,0))</f>
        <v/>
      </c>
      <c r="O60" s="479">
        <f>IF(K60="","",IF(MONTH(K60)&lt;=6,1,2))</f>
        <v/>
      </c>
      <c r="P60" s="480">
        <f>IF(B60&lt;&gt;"Actif",0,H60*J60)</f>
        <v/>
      </c>
      <c r="Q60" s="480">
        <f>IF(B60&lt;&gt;"Actif",0,H60*I60)</f>
        <v/>
      </c>
      <c r="R60" s="480">
        <f>IF(B60&lt;&gt;"Actif",0,H60*I60*J60)</f>
        <v/>
      </c>
      <c r="S60" s="479" t="n"/>
    </row>
    <row r="61">
      <c r="A61" s="479">
        <f>IF(C61="","",ROW()-4)</f>
        <v/>
      </c>
      <c r="B61" s="479" t="n"/>
      <c r="C61" s="479" t="n"/>
      <c r="D61" s="479" t="n"/>
      <c r="E61" s="479" t="n"/>
      <c r="F61" s="479" t="n"/>
      <c r="G61" s="479" t="n"/>
      <c r="H61" s="480" t="n"/>
      <c r="I61" s="554" t="n"/>
      <c r="J61" s="554" t="n"/>
      <c r="K61" s="555" t="n"/>
      <c r="L61" s="555" t="n"/>
      <c r="M61" s="479">
        <f>IF(K61="","",YEAR(K61))</f>
        <v/>
      </c>
      <c r="N61" s="479">
        <f>IF(K61="","",ROUNDUP(MONTH(K61)/3,0))</f>
        <v/>
      </c>
      <c r="O61" s="479">
        <f>IF(K61="","",IF(MONTH(K61)&lt;=6,1,2))</f>
        <v/>
      </c>
      <c r="P61" s="480">
        <f>IF(B61&lt;&gt;"Actif",0,H61*J61)</f>
        <v/>
      </c>
      <c r="Q61" s="480">
        <f>IF(B61&lt;&gt;"Actif",0,H61*I61)</f>
        <v/>
      </c>
      <c r="R61" s="480">
        <f>IF(B61&lt;&gt;"Actif",0,H61*I61*J61)</f>
        <v/>
      </c>
      <c r="S61" s="479" t="n"/>
    </row>
    <row r="62">
      <c r="A62" s="479">
        <f>IF(C62="","",ROW()-4)</f>
        <v/>
      </c>
      <c r="B62" s="479" t="n"/>
      <c r="C62" s="479" t="n"/>
      <c r="D62" s="479" t="n"/>
      <c r="E62" s="479" t="n"/>
      <c r="F62" s="479" t="n"/>
      <c r="G62" s="479" t="n"/>
      <c r="H62" s="480" t="n"/>
      <c r="I62" s="554" t="n"/>
      <c r="J62" s="554" t="n"/>
      <c r="K62" s="555" t="n"/>
      <c r="L62" s="555" t="n"/>
      <c r="M62" s="479">
        <f>IF(K62="","",YEAR(K62))</f>
        <v/>
      </c>
      <c r="N62" s="479">
        <f>IF(K62="","",ROUNDUP(MONTH(K62)/3,0))</f>
        <v/>
      </c>
      <c r="O62" s="479">
        <f>IF(K62="","",IF(MONTH(K62)&lt;=6,1,2))</f>
        <v/>
      </c>
      <c r="P62" s="480">
        <f>IF(B62&lt;&gt;"Actif",0,H62*J62)</f>
        <v/>
      </c>
      <c r="Q62" s="480">
        <f>IF(B62&lt;&gt;"Actif",0,H62*I62)</f>
        <v/>
      </c>
      <c r="R62" s="480">
        <f>IF(B62&lt;&gt;"Actif",0,H62*I62*J62)</f>
        <v/>
      </c>
      <c r="S62" s="479" t="n"/>
    </row>
    <row r="63">
      <c r="A63" s="479">
        <f>IF(C63="","",ROW()-4)</f>
        <v/>
      </c>
      <c r="B63" s="479" t="n"/>
      <c r="C63" s="479" t="n"/>
      <c r="D63" s="479" t="n"/>
      <c r="E63" s="479" t="n"/>
      <c r="F63" s="479" t="n"/>
      <c r="G63" s="479" t="n"/>
      <c r="H63" s="480" t="n"/>
      <c r="I63" s="554" t="n"/>
      <c r="J63" s="554" t="n"/>
      <c r="K63" s="555" t="n"/>
      <c r="L63" s="555" t="n"/>
      <c r="M63" s="479">
        <f>IF(K63="","",YEAR(K63))</f>
        <v/>
      </c>
      <c r="N63" s="479">
        <f>IF(K63="","",ROUNDUP(MONTH(K63)/3,0))</f>
        <v/>
      </c>
      <c r="O63" s="479">
        <f>IF(K63="","",IF(MONTH(K63)&lt;=6,1,2))</f>
        <v/>
      </c>
      <c r="P63" s="480">
        <f>IF(B63&lt;&gt;"Actif",0,H63*J63)</f>
        <v/>
      </c>
      <c r="Q63" s="480">
        <f>IF(B63&lt;&gt;"Actif",0,H63*I63)</f>
        <v/>
      </c>
      <c r="R63" s="480">
        <f>IF(B63&lt;&gt;"Actif",0,H63*I63*J63)</f>
        <v/>
      </c>
      <c r="S63" s="479" t="n"/>
    </row>
    <row r="64">
      <c r="A64" s="479">
        <f>IF(C64="","",ROW()-4)</f>
        <v/>
      </c>
      <c r="B64" s="479" t="n"/>
      <c r="C64" s="479" t="n"/>
      <c r="D64" s="479" t="n"/>
      <c r="E64" s="479" t="n"/>
      <c r="F64" s="479" t="n"/>
      <c r="G64" s="479" t="n"/>
      <c r="H64" s="480" t="n"/>
      <c r="I64" s="554" t="n"/>
      <c r="J64" s="554" t="n"/>
      <c r="K64" s="555" t="n"/>
      <c r="L64" s="555" t="n"/>
      <c r="M64" s="479">
        <f>IF(K64="","",YEAR(K64))</f>
        <v/>
      </c>
      <c r="N64" s="479">
        <f>IF(K64="","",ROUNDUP(MONTH(K64)/3,0))</f>
        <v/>
      </c>
      <c r="O64" s="479">
        <f>IF(K64="","",IF(MONTH(K64)&lt;=6,1,2))</f>
        <v/>
      </c>
      <c r="P64" s="480">
        <f>IF(B64&lt;&gt;"Actif",0,H64*J64)</f>
        <v/>
      </c>
      <c r="Q64" s="480">
        <f>IF(B64&lt;&gt;"Actif",0,H64*I64)</f>
        <v/>
      </c>
      <c r="R64" s="480">
        <f>IF(B64&lt;&gt;"Actif",0,H64*I64*J64)</f>
        <v/>
      </c>
      <c r="S64" s="479" t="n"/>
    </row>
    <row r="65">
      <c r="A65" s="479">
        <f>IF(C65="","",ROW()-4)</f>
        <v/>
      </c>
      <c r="B65" s="479" t="n"/>
      <c r="C65" s="479" t="n"/>
      <c r="D65" s="479" t="n"/>
      <c r="E65" s="479" t="n"/>
      <c r="F65" s="479" t="n"/>
      <c r="G65" s="479" t="n"/>
      <c r="H65" s="480" t="n"/>
      <c r="I65" s="554" t="n"/>
      <c r="J65" s="554" t="n"/>
      <c r="K65" s="555" t="n"/>
      <c r="L65" s="555" t="n"/>
      <c r="M65" s="479">
        <f>IF(K65="","",YEAR(K65))</f>
        <v/>
      </c>
      <c r="N65" s="479">
        <f>IF(K65="","",ROUNDUP(MONTH(K65)/3,0))</f>
        <v/>
      </c>
      <c r="O65" s="479">
        <f>IF(K65="","",IF(MONTH(K65)&lt;=6,1,2))</f>
        <v/>
      </c>
      <c r="P65" s="480">
        <f>IF(B65&lt;&gt;"Actif",0,H65*J65)</f>
        <v/>
      </c>
      <c r="Q65" s="480">
        <f>IF(B65&lt;&gt;"Actif",0,H65*I65)</f>
        <v/>
      </c>
      <c r="R65" s="480">
        <f>IF(B65&lt;&gt;"Actif",0,H65*I65*J65)</f>
        <v/>
      </c>
      <c r="S65" s="479" t="n"/>
    </row>
    <row r="66">
      <c r="A66" s="479">
        <f>IF(C66="","",ROW()-4)</f>
        <v/>
      </c>
      <c r="B66" s="479" t="n"/>
      <c r="C66" s="479" t="n"/>
      <c r="D66" s="479" t="n"/>
      <c r="E66" s="479" t="n"/>
      <c r="F66" s="479" t="n"/>
      <c r="G66" s="479" t="n"/>
      <c r="H66" s="480" t="n"/>
      <c r="I66" s="554" t="n"/>
      <c r="J66" s="554" t="n"/>
      <c r="K66" s="555" t="n"/>
      <c r="L66" s="555" t="n"/>
      <c r="M66" s="479">
        <f>IF(K66="","",YEAR(K66))</f>
        <v/>
      </c>
      <c r="N66" s="479">
        <f>IF(K66="","",ROUNDUP(MONTH(K66)/3,0))</f>
        <v/>
      </c>
      <c r="O66" s="479">
        <f>IF(K66="","",IF(MONTH(K66)&lt;=6,1,2))</f>
        <v/>
      </c>
      <c r="P66" s="480">
        <f>IF(B66&lt;&gt;"Actif",0,H66*J66)</f>
        <v/>
      </c>
      <c r="Q66" s="480">
        <f>IF(B66&lt;&gt;"Actif",0,H66*I66)</f>
        <v/>
      </c>
      <c r="R66" s="480">
        <f>IF(B66&lt;&gt;"Actif",0,H66*I66*J66)</f>
        <v/>
      </c>
      <c r="S66" s="479" t="n"/>
    </row>
    <row r="67">
      <c r="A67" s="479">
        <f>IF(C67="","",ROW()-4)</f>
        <v/>
      </c>
      <c r="B67" s="479" t="n"/>
      <c r="C67" s="479" t="n"/>
      <c r="D67" s="479" t="n"/>
      <c r="E67" s="479" t="n"/>
      <c r="F67" s="479" t="n"/>
      <c r="G67" s="479" t="n"/>
      <c r="H67" s="480" t="n"/>
      <c r="I67" s="554" t="n"/>
      <c r="J67" s="554" t="n"/>
      <c r="K67" s="555" t="n"/>
      <c r="L67" s="555" t="n"/>
      <c r="M67" s="479">
        <f>IF(K67="","",YEAR(K67))</f>
        <v/>
      </c>
      <c r="N67" s="479">
        <f>IF(K67="","",ROUNDUP(MONTH(K67)/3,0))</f>
        <v/>
      </c>
      <c r="O67" s="479">
        <f>IF(K67="","",IF(MONTH(K67)&lt;=6,1,2))</f>
        <v/>
      </c>
      <c r="P67" s="480">
        <f>IF(B67&lt;&gt;"Actif",0,H67*J67)</f>
        <v/>
      </c>
      <c r="Q67" s="480">
        <f>IF(B67&lt;&gt;"Actif",0,H67*I67)</f>
        <v/>
      </c>
      <c r="R67" s="480">
        <f>IF(B67&lt;&gt;"Actif",0,H67*I67*J67)</f>
        <v/>
      </c>
      <c r="S67" s="479" t="n"/>
    </row>
    <row r="68">
      <c r="A68" s="479">
        <f>IF(C68="","",ROW()-4)</f>
        <v/>
      </c>
      <c r="B68" s="479" t="n"/>
      <c r="C68" s="479" t="n"/>
      <c r="D68" s="479" t="n"/>
      <c r="E68" s="479" t="n"/>
      <c r="F68" s="479" t="n"/>
      <c r="G68" s="479" t="n"/>
      <c r="H68" s="480" t="n"/>
      <c r="I68" s="554" t="n"/>
      <c r="J68" s="554" t="n"/>
      <c r="K68" s="555" t="n"/>
      <c r="L68" s="555" t="n"/>
      <c r="M68" s="479">
        <f>IF(K68="","",YEAR(K68))</f>
        <v/>
      </c>
      <c r="N68" s="479">
        <f>IF(K68="","",ROUNDUP(MONTH(K68)/3,0))</f>
        <v/>
      </c>
      <c r="O68" s="479">
        <f>IF(K68="","",IF(MONTH(K68)&lt;=6,1,2))</f>
        <v/>
      </c>
      <c r="P68" s="480">
        <f>IF(B68&lt;&gt;"Actif",0,H68*J68)</f>
        <v/>
      </c>
      <c r="Q68" s="480">
        <f>IF(B68&lt;&gt;"Actif",0,H68*I68)</f>
        <v/>
      </c>
      <c r="R68" s="480">
        <f>IF(B68&lt;&gt;"Actif",0,H68*I68*J68)</f>
        <v/>
      </c>
      <c r="S68" s="479" t="n"/>
    </row>
    <row r="69">
      <c r="A69" s="479">
        <f>IF(C69="","",ROW()-4)</f>
        <v/>
      </c>
      <c r="B69" s="479" t="n"/>
      <c r="C69" s="479" t="n"/>
      <c r="D69" s="479" t="n"/>
      <c r="E69" s="479" t="n"/>
      <c r="F69" s="479" t="n"/>
      <c r="G69" s="479" t="n"/>
      <c r="H69" s="480" t="n"/>
      <c r="I69" s="554" t="n"/>
      <c r="J69" s="554" t="n"/>
      <c r="K69" s="555" t="n"/>
      <c r="L69" s="555" t="n"/>
      <c r="M69" s="479">
        <f>IF(K69="","",YEAR(K69))</f>
        <v/>
      </c>
      <c r="N69" s="479">
        <f>IF(K69="","",ROUNDUP(MONTH(K69)/3,0))</f>
        <v/>
      </c>
      <c r="O69" s="479">
        <f>IF(K69="","",IF(MONTH(K69)&lt;=6,1,2))</f>
        <v/>
      </c>
      <c r="P69" s="480">
        <f>IF(B69&lt;&gt;"Actif",0,H69*J69)</f>
        <v/>
      </c>
      <c r="Q69" s="480">
        <f>IF(B69&lt;&gt;"Actif",0,H69*I69)</f>
        <v/>
      </c>
      <c r="R69" s="480">
        <f>IF(B69&lt;&gt;"Actif",0,H69*I69*J69)</f>
        <v/>
      </c>
      <c r="S69" s="479" t="n"/>
    </row>
    <row r="70">
      <c r="A70" s="479">
        <f>IF(C70="","",ROW()-4)</f>
        <v/>
      </c>
      <c r="B70" s="479" t="n"/>
      <c r="C70" s="479" t="n"/>
      <c r="D70" s="479" t="n"/>
      <c r="E70" s="479" t="n"/>
      <c r="F70" s="479" t="n"/>
      <c r="G70" s="479" t="n"/>
      <c r="H70" s="480" t="n"/>
      <c r="I70" s="554" t="n"/>
      <c r="J70" s="554" t="n"/>
      <c r="K70" s="555" t="n"/>
      <c r="L70" s="555" t="n"/>
      <c r="M70" s="479">
        <f>IF(K70="","",YEAR(K70))</f>
        <v/>
      </c>
      <c r="N70" s="479">
        <f>IF(K70="","",ROUNDUP(MONTH(K70)/3,0))</f>
        <v/>
      </c>
      <c r="O70" s="479">
        <f>IF(K70="","",IF(MONTH(K70)&lt;=6,1,2))</f>
        <v/>
      </c>
      <c r="P70" s="480">
        <f>IF(B70&lt;&gt;"Actif",0,H70*J70)</f>
        <v/>
      </c>
      <c r="Q70" s="480">
        <f>IF(B70&lt;&gt;"Actif",0,H70*I70)</f>
        <v/>
      </c>
      <c r="R70" s="480">
        <f>IF(B70&lt;&gt;"Actif",0,H70*I70*J70)</f>
        <v/>
      </c>
      <c r="S70" s="479" t="n"/>
    </row>
    <row r="71">
      <c r="A71" s="479">
        <f>IF(C71="","",ROW()-4)</f>
        <v/>
      </c>
      <c r="B71" s="479" t="n"/>
      <c r="C71" s="479" t="n"/>
      <c r="D71" s="479" t="n"/>
      <c r="E71" s="479" t="n"/>
      <c r="F71" s="479" t="n"/>
      <c r="G71" s="479" t="n"/>
      <c r="H71" s="480" t="n"/>
      <c r="I71" s="554" t="n"/>
      <c r="J71" s="554" t="n"/>
      <c r="K71" s="555" t="n"/>
      <c r="L71" s="555" t="n"/>
      <c r="M71" s="479">
        <f>IF(K71="","",YEAR(K71))</f>
        <v/>
      </c>
      <c r="N71" s="479">
        <f>IF(K71="","",ROUNDUP(MONTH(K71)/3,0))</f>
        <v/>
      </c>
      <c r="O71" s="479">
        <f>IF(K71="","",IF(MONTH(K71)&lt;=6,1,2))</f>
        <v/>
      </c>
      <c r="P71" s="480">
        <f>IF(B71&lt;&gt;"Actif",0,H71*J71)</f>
        <v/>
      </c>
      <c r="Q71" s="480">
        <f>IF(B71&lt;&gt;"Actif",0,H71*I71)</f>
        <v/>
      </c>
      <c r="R71" s="480">
        <f>IF(B71&lt;&gt;"Actif",0,H71*I71*J71)</f>
        <v/>
      </c>
      <c r="S71" s="479" t="n"/>
    </row>
    <row r="72">
      <c r="A72" s="479">
        <f>IF(C72="","",ROW()-4)</f>
        <v/>
      </c>
      <c r="B72" s="479" t="n"/>
      <c r="C72" s="479" t="n"/>
      <c r="D72" s="479" t="n"/>
      <c r="E72" s="479" t="n"/>
      <c r="F72" s="479" t="n"/>
      <c r="G72" s="479" t="n"/>
      <c r="H72" s="480" t="n"/>
      <c r="I72" s="554" t="n"/>
      <c r="J72" s="554" t="n"/>
      <c r="K72" s="555" t="n"/>
      <c r="L72" s="555" t="n"/>
      <c r="M72" s="479">
        <f>IF(K72="","",YEAR(K72))</f>
        <v/>
      </c>
      <c r="N72" s="479">
        <f>IF(K72="","",ROUNDUP(MONTH(K72)/3,0))</f>
        <v/>
      </c>
      <c r="O72" s="479">
        <f>IF(K72="","",IF(MONTH(K72)&lt;=6,1,2))</f>
        <v/>
      </c>
      <c r="P72" s="480">
        <f>IF(B72&lt;&gt;"Actif",0,H72*J72)</f>
        <v/>
      </c>
      <c r="Q72" s="480">
        <f>IF(B72&lt;&gt;"Actif",0,H72*I72)</f>
        <v/>
      </c>
      <c r="R72" s="480">
        <f>IF(B72&lt;&gt;"Actif",0,H72*I72*J72)</f>
        <v/>
      </c>
      <c r="S72" s="479" t="n"/>
    </row>
    <row r="73">
      <c r="A73" s="479">
        <f>IF(C73="","",ROW()-4)</f>
        <v/>
      </c>
      <c r="B73" s="479" t="n"/>
      <c r="C73" s="479" t="n"/>
      <c r="D73" s="479" t="n"/>
      <c r="E73" s="479" t="n"/>
      <c r="F73" s="479" t="n"/>
      <c r="G73" s="479" t="n"/>
      <c r="H73" s="480" t="n"/>
      <c r="I73" s="554" t="n"/>
      <c r="J73" s="554" t="n"/>
      <c r="K73" s="555" t="n"/>
      <c r="L73" s="555" t="n"/>
      <c r="M73" s="479">
        <f>IF(K73="","",YEAR(K73))</f>
        <v/>
      </c>
      <c r="N73" s="479">
        <f>IF(K73="","",ROUNDUP(MONTH(K73)/3,0))</f>
        <v/>
      </c>
      <c r="O73" s="479">
        <f>IF(K73="","",IF(MONTH(K73)&lt;=6,1,2))</f>
        <v/>
      </c>
      <c r="P73" s="480">
        <f>IF(B73&lt;&gt;"Actif",0,H73*J73)</f>
        <v/>
      </c>
      <c r="Q73" s="480">
        <f>IF(B73&lt;&gt;"Actif",0,H73*I73)</f>
        <v/>
      </c>
      <c r="R73" s="480">
        <f>IF(B73&lt;&gt;"Actif",0,H73*I73*J73)</f>
        <v/>
      </c>
      <c r="S73" s="479" t="n"/>
    </row>
    <row r="74">
      <c r="A74" s="479">
        <f>IF(C74="","",ROW()-4)</f>
        <v/>
      </c>
      <c r="B74" s="479" t="n"/>
      <c r="C74" s="479" t="n"/>
      <c r="D74" s="479" t="n"/>
      <c r="E74" s="479" t="n"/>
      <c r="F74" s="479" t="n"/>
      <c r="G74" s="479" t="n"/>
      <c r="H74" s="480" t="n"/>
      <c r="I74" s="554" t="n"/>
      <c r="J74" s="554" t="n"/>
      <c r="K74" s="555" t="n"/>
      <c r="L74" s="555" t="n"/>
      <c r="M74" s="479">
        <f>IF(K74="","",YEAR(K74))</f>
        <v/>
      </c>
      <c r="N74" s="479">
        <f>IF(K74="","",ROUNDUP(MONTH(K74)/3,0))</f>
        <v/>
      </c>
      <c r="O74" s="479">
        <f>IF(K74="","",IF(MONTH(K74)&lt;=6,1,2))</f>
        <v/>
      </c>
      <c r="P74" s="480">
        <f>IF(B74&lt;&gt;"Actif",0,H74*J74)</f>
        <v/>
      </c>
      <c r="Q74" s="480">
        <f>IF(B74&lt;&gt;"Actif",0,H74*I74)</f>
        <v/>
      </c>
      <c r="R74" s="480">
        <f>IF(B74&lt;&gt;"Actif",0,H74*I74*J74)</f>
        <v/>
      </c>
      <c r="S74" s="479" t="n"/>
    </row>
    <row r="75">
      <c r="A75" s="479">
        <f>IF(C75="","",ROW()-4)</f>
        <v/>
      </c>
      <c r="B75" s="479" t="n"/>
      <c r="C75" s="479" t="n"/>
      <c r="D75" s="479" t="n"/>
      <c r="E75" s="479" t="n"/>
      <c r="F75" s="479" t="n"/>
      <c r="G75" s="479" t="n"/>
      <c r="H75" s="480" t="n"/>
      <c r="I75" s="554" t="n"/>
      <c r="J75" s="554" t="n"/>
      <c r="K75" s="555" t="n"/>
      <c r="L75" s="555" t="n"/>
      <c r="M75" s="479">
        <f>IF(K75="","",YEAR(K75))</f>
        <v/>
      </c>
      <c r="N75" s="479">
        <f>IF(K75="","",ROUNDUP(MONTH(K75)/3,0))</f>
        <v/>
      </c>
      <c r="O75" s="479">
        <f>IF(K75="","",IF(MONTH(K75)&lt;=6,1,2))</f>
        <v/>
      </c>
      <c r="P75" s="480">
        <f>IF(B75&lt;&gt;"Actif",0,H75*J75)</f>
        <v/>
      </c>
      <c r="Q75" s="480">
        <f>IF(B75&lt;&gt;"Actif",0,H75*I75)</f>
        <v/>
      </c>
      <c r="R75" s="480">
        <f>IF(B75&lt;&gt;"Actif",0,H75*I75*J75)</f>
        <v/>
      </c>
      <c r="S75" s="479" t="n"/>
    </row>
    <row r="76">
      <c r="A76" s="479">
        <f>IF(C76="","",ROW()-4)</f>
        <v/>
      </c>
      <c r="B76" s="479" t="n"/>
      <c r="C76" s="479" t="n"/>
      <c r="D76" s="479" t="n"/>
      <c r="E76" s="479" t="n"/>
      <c r="F76" s="479" t="n"/>
      <c r="G76" s="479" t="n"/>
      <c r="H76" s="480" t="n"/>
      <c r="I76" s="554" t="n"/>
      <c r="J76" s="554" t="n"/>
      <c r="K76" s="555" t="n"/>
      <c r="L76" s="555" t="n"/>
      <c r="M76" s="479">
        <f>IF(K76="","",YEAR(K76))</f>
        <v/>
      </c>
      <c r="N76" s="479">
        <f>IF(K76="","",ROUNDUP(MONTH(K76)/3,0))</f>
        <v/>
      </c>
      <c r="O76" s="479">
        <f>IF(K76="","",IF(MONTH(K76)&lt;=6,1,2))</f>
        <v/>
      </c>
      <c r="P76" s="480">
        <f>IF(B76&lt;&gt;"Actif",0,H76*J76)</f>
        <v/>
      </c>
      <c r="Q76" s="480">
        <f>IF(B76&lt;&gt;"Actif",0,H76*I76)</f>
        <v/>
      </c>
      <c r="R76" s="480">
        <f>IF(B76&lt;&gt;"Actif",0,H76*I76*J76)</f>
        <v/>
      </c>
      <c r="S76" s="479" t="n"/>
    </row>
    <row r="77">
      <c r="A77" s="479">
        <f>IF(C77="","",ROW()-4)</f>
        <v/>
      </c>
      <c r="B77" s="479" t="n"/>
      <c r="C77" s="479" t="n"/>
      <c r="D77" s="479" t="n"/>
      <c r="E77" s="479" t="n"/>
      <c r="F77" s="479" t="n"/>
      <c r="G77" s="479" t="n"/>
      <c r="H77" s="480" t="n"/>
      <c r="I77" s="554" t="n"/>
      <c r="J77" s="554" t="n"/>
      <c r="K77" s="555" t="n"/>
      <c r="L77" s="555" t="n"/>
      <c r="M77" s="479">
        <f>IF(K77="","",YEAR(K77))</f>
        <v/>
      </c>
      <c r="N77" s="479">
        <f>IF(K77="","",ROUNDUP(MONTH(K77)/3,0))</f>
        <v/>
      </c>
      <c r="O77" s="479">
        <f>IF(K77="","",IF(MONTH(K77)&lt;=6,1,2))</f>
        <v/>
      </c>
      <c r="P77" s="480">
        <f>IF(B77&lt;&gt;"Actif",0,H77*J77)</f>
        <v/>
      </c>
      <c r="Q77" s="480">
        <f>IF(B77&lt;&gt;"Actif",0,H77*I77)</f>
        <v/>
      </c>
      <c r="R77" s="480">
        <f>IF(B77&lt;&gt;"Actif",0,H77*I77*J77)</f>
        <v/>
      </c>
      <c r="S77" s="479" t="n"/>
    </row>
    <row r="78">
      <c r="A78" s="479">
        <f>IF(C78="","",ROW()-4)</f>
        <v/>
      </c>
      <c r="B78" s="479" t="n"/>
      <c r="C78" s="479" t="n"/>
      <c r="D78" s="479" t="n"/>
      <c r="E78" s="479" t="n"/>
      <c r="F78" s="479" t="n"/>
      <c r="G78" s="479" t="n"/>
      <c r="H78" s="480" t="n"/>
      <c r="I78" s="554" t="n"/>
      <c r="J78" s="554" t="n"/>
      <c r="K78" s="555" t="n"/>
      <c r="L78" s="555" t="n"/>
      <c r="M78" s="479">
        <f>IF(K78="","",YEAR(K78))</f>
        <v/>
      </c>
      <c r="N78" s="479">
        <f>IF(K78="","",ROUNDUP(MONTH(K78)/3,0))</f>
        <v/>
      </c>
      <c r="O78" s="479">
        <f>IF(K78="","",IF(MONTH(K78)&lt;=6,1,2))</f>
        <v/>
      </c>
      <c r="P78" s="480">
        <f>IF(B78&lt;&gt;"Actif",0,H78*J78)</f>
        <v/>
      </c>
      <c r="Q78" s="480">
        <f>IF(B78&lt;&gt;"Actif",0,H78*I78)</f>
        <v/>
      </c>
      <c r="R78" s="480">
        <f>IF(B78&lt;&gt;"Actif",0,H78*I78*J78)</f>
        <v/>
      </c>
      <c r="S78" s="479" t="n"/>
    </row>
    <row r="79">
      <c r="A79" s="479">
        <f>IF(C79="","",ROW()-4)</f>
        <v/>
      </c>
      <c r="B79" s="479" t="n"/>
      <c r="C79" s="479" t="n"/>
      <c r="D79" s="479" t="n"/>
      <c r="E79" s="479" t="n"/>
      <c r="F79" s="479" t="n"/>
      <c r="G79" s="479" t="n"/>
      <c r="H79" s="480" t="n"/>
      <c r="I79" s="554" t="n"/>
      <c r="J79" s="554" t="n"/>
      <c r="K79" s="555" t="n"/>
      <c r="L79" s="555" t="n"/>
      <c r="M79" s="479">
        <f>IF(K79="","",YEAR(K79))</f>
        <v/>
      </c>
      <c r="N79" s="479">
        <f>IF(K79="","",ROUNDUP(MONTH(K79)/3,0))</f>
        <v/>
      </c>
      <c r="O79" s="479">
        <f>IF(K79="","",IF(MONTH(K79)&lt;=6,1,2))</f>
        <v/>
      </c>
      <c r="P79" s="480">
        <f>IF(B79&lt;&gt;"Actif",0,H79*J79)</f>
        <v/>
      </c>
      <c r="Q79" s="480">
        <f>IF(B79&lt;&gt;"Actif",0,H79*I79)</f>
        <v/>
      </c>
      <c r="R79" s="480">
        <f>IF(B79&lt;&gt;"Actif",0,H79*I79*J79)</f>
        <v/>
      </c>
      <c r="S79" s="479" t="n"/>
    </row>
    <row r="80">
      <c r="A80" s="479">
        <f>IF(C80="","",ROW()-4)</f>
        <v/>
      </c>
      <c r="B80" s="479" t="n"/>
      <c r="C80" s="479" t="n"/>
      <c r="D80" s="479" t="n"/>
      <c r="E80" s="479" t="n"/>
      <c r="F80" s="479" t="n"/>
      <c r="G80" s="479" t="n"/>
      <c r="H80" s="480" t="n"/>
      <c r="I80" s="554" t="n"/>
      <c r="J80" s="554" t="n"/>
      <c r="K80" s="555" t="n"/>
      <c r="L80" s="555" t="n"/>
      <c r="M80" s="479">
        <f>IF(K80="","",YEAR(K80))</f>
        <v/>
      </c>
      <c r="N80" s="479">
        <f>IF(K80="","",ROUNDUP(MONTH(K80)/3,0))</f>
        <v/>
      </c>
      <c r="O80" s="479">
        <f>IF(K80="","",IF(MONTH(K80)&lt;=6,1,2))</f>
        <v/>
      </c>
      <c r="P80" s="480">
        <f>IF(B80&lt;&gt;"Actif",0,H80*J80)</f>
        <v/>
      </c>
      <c r="Q80" s="480">
        <f>IF(B80&lt;&gt;"Actif",0,H80*I80)</f>
        <v/>
      </c>
      <c r="R80" s="480">
        <f>IF(B80&lt;&gt;"Actif",0,H80*I80*J80)</f>
        <v/>
      </c>
      <c r="S80" s="479" t="n"/>
    </row>
    <row r="81">
      <c r="A81" s="479">
        <f>IF(C81="","",ROW()-4)</f>
        <v/>
      </c>
      <c r="B81" s="479" t="n"/>
      <c r="C81" s="479" t="n"/>
      <c r="D81" s="479" t="n"/>
      <c r="E81" s="479" t="n"/>
      <c r="F81" s="479" t="n"/>
      <c r="G81" s="479" t="n"/>
      <c r="H81" s="480" t="n"/>
      <c r="I81" s="554" t="n"/>
      <c r="J81" s="554" t="n"/>
      <c r="K81" s="555" t="n"/>
      <c r="L81" s="555" t="n"/>
      <c r="M81" s="479">
        <f>IF(K81="","",YEAR(K81))</f>
        <v/>
      </c>
      <c r="N81" s="479">
        <f>IF(K81="","",ROUNDUP(MONTH(K81)/3,0))</f>
        <v/>
      </c>
      <c r="O81" s="479">
        <f>IF(K81="","",IF(MONTH(K81)&lt;=6,1,2))</f>
        <v/>
      </c>
      <c r="P81" s="480">
        <f>IF(B81&lt;&gt;"Actif",0,H81*J81)</f>
        <v/>
      </c>
      <c r="Q81" s="480">
        <f>IF(B81&lt;&gt;"Actif",0,H81*I81)</f>
        <v/>
      </c>
      <c r="R81" s="480">
        <f>IF(B81&lt;&gt;"Actif",0,H81*I81*J81)</f>
        <v/>
      </c>
      <c r="S81" s="479" t="n"/>
    </row>
    <row r="82">
      <c r="A82" s="479">
        <f>IF(C82="","",ROW()-4)</f>
        <v/>
      </c>
      <c r="B82" s="479" t="n"/>
      <c r="C82" s="479" t="n"/>
      <c r="D82" s="479" t="n"/>
      <c r="E82" s="479" t="n"/>
      <c r="F82" s="479" t="n"/>
      <c r="G82" s="479" t="n"/>
      <c r="H82" s="480" t="n"/>
      <c r="I82" s="554" t="n"/>
      <c r="J82" s="554" t="n"/>
      <c r="K82" s="555" t="n"/>
      <c r="L82" s="555" t="n"/>
      <c r="M82" s="479">
        <f>IF(K82="","",YEAR(K82))</f>
        <v/>
      </c>
      <c r="N82" s="479">
        <f>IF(K82="","",ROUNDUP(MONTH(K82)/3,0))</f>
        <v/>
      </c>
      <c r="O82" s="479">
        <f>IF(K82="","",IF(MONTH(K82)&lt;=6,1,2))</f>
        <v/>
      </c>
      <c r="P82" s="480">
        <f>IF(B82&lt;&gt;"Actif",0,H82*J82)</f>
        <v/>
      </c>
      <c r="Q82" s="480">
        <f>IF(B82&lt;&gt;"Actif",0,H82*I82)</f>
        <v/>
      </c>
      <c r="R82" s="480">
        <f>IF(B82&lt;&gt;"Actif",0,H82*I82*J82)</f>
        <v/>
      </c>
      <c r="S82" s="479" t="n"/>
    </row>
    <row r="83">
      <c r="A83" s="479">
        <f>IF(C83="","",ROW()-4)</f>
        <v/>
      </c>
      <c r="B83" s="479" t="n"/>
      <c r="C83" s="479" t="n"/>
      <c r="D83" s="479" t="n"/>
      <c r="E83" s="479" t="n"/>
      <c r="F83" s="479" t="n"/>
      <c r="G83" s="479" t="n"/>
      <c r="H83" s="480" t="n"/>
      <c r="I83" s="554" t="n"/>
      <c r="J83" s="554" t="n"/>
      <c r="K83" s="555" t="n"/>
      <c r="L83" s="555" t="n"/>
      <c r="M83" s="479">
        <f>IF(K83="","",YEAR(K83))</f>
        <v/>
      </c>
      <c r="N83" s="479">
        <f>IF(K83="","",ROUNDUP(MONTH(K83)/3,0))</f>
        <v/>
      </c>
      <c r="O83" s="479">
        <f>IF(K83="","",IF(MONTH(K83)&lt;=6,1,2))</f>
        <v/>
      </c>
      <c r="P83" s="480">
        <f>IF(B83&lt;&gt;"Actif",0,H83*J83)</f>
        <v/>
      </c>
      <c r="Q83" s="480">
        <f>IF(B83&lt;&gt;"Actif",0,H83*I83)</f>
        <v/>
      </c>
      <c r="R83" s="480">
        <f>IF(B83&lt;&gt;"Actif",0,H83*I83*J83)</f>
        <v/>
      </c>
      <c r="S83" s="479" t="n"/>
    </row>
    <row r="84">
      <c r="A84" s="479">
        <f>IF(C84="","",ROW()-4)</f>
        <v/>
      </c>
      <c r="B84" s="479" t="n"/>
      <c r="C84" s="479" t="n"/>
      <c r="D84" s="479" t="n"/>
      <c r="E84" s="479" t="n"/>
      <c r="F84" s="479" t="n"/>
      <c r="G84" s="479" t="n"/>
      <c r="H84" s="480" t="n"/>
      <c r="I84" s="554" t="n"/>
      <c r="J84" s="554" t="n"/>
      <c r="K84" s="555" t="n"/>
      <c r="L84" s="555" t="n"/>
      <c r="M84" s="479">
        <f>IF(K84="","",YEAR(K84))</f>
        <v/>
      </c>
      <c r="N84" s="479">
        <f>IF(K84="","",ROUNDUP(MONTH(K84)/3,0))</f>
        <v/>
      </c>
      <c r="O84" s="479">
        <f>IF(K84="","",IF(MONTH(K84)&lt;=6,1,2))</f>
        <v/>
      </c>
      <c r="P84" s="480">
        <f>IF(B84&lt;&gt;"Actif",0,H84*J84)</f>
        <v/>
      </c>
      <c r="Q84" s="480">
        <f>IF(B84&lt;&gt;"Actif",0,H84*I84)</f>
        <v/>
      </c>
      <c r="R84" s="480">
        <f>IF(B84&lt;&gt;"Actif",0,H84*I84*J84)</f>
        <v/>
      </c>
      <c r="S84" s="479" t="n"/>
    </row>
    <row r="85">
      <c r="A85" s="479">
        <f>IF(C85="","",ROW()-4)</f>
        <v/>
      </c>
      <c r="B85" s="479" t="n"/>
      <c r="C85" s="479" t="n"/>
      <c r="D85" s="479" t="n"/>
      <c r="E85" s="479" t="n"/>
      <c r="F85" s="479" t="n"/>
      <c r="G85" s="479" t="n"/>
      <c r="H85" s="480" t="n"/>
      <c r="I85" s="554" t="n"/>
      <c r="J85" s="554" t="n"/>
      <c r="K85" s="555" t="n"/>
      <c r="L85" s="555" t="n"/>
      <c r="M85" s="479">
        <f>IF(K85="","",YEAR(K85))</f>
        <v/>
      </c>
      <c r="N85" s="479">
        <f>IF(K85="","",ROUNDUP(MONTH(K85)/3,0))</f>
        <v/>
      </c>
      <c r="O85" s="479">
        <f>IF(K85="","",IF(MONTH(K85)&lt;=6,1,2))</f>
        <v/>
      </c>
      <c r="P85" s="480">
        <f>IF(B85&lt;&gt;"Actif",0,H85*J85)</f>
        <v/>
      </c>
      <c r="Q85" s="480">
        <f>IF(B85&lt;&gt;"Actif",0,H85*I85)</f>
        <v/>
      </c>
      <c r="R85" s="480">
        <f>IF(B85&lt;&gt;"Actif",0,H85*I85*J85)</f>
        <v/>
      </c>
      <c r="S85" s="479" t="n"/>
    </row>
    <row r="86">
      <c r="A86" s="479">
        <f>IF(C86="","",ROW()-4)</f>
        <v/>
      </c>
      <c r="B86" s="479" t="n"/>
      <c r="C86" s="479" t="n"/>
      <c r="D86" s="479" t="n"/>
      <c r="E86" s="479" t="n"/>
      <c r="F86" s="479" t="n"/>
      <c r="G86" s="479" t="n"/>
      <c r="H86" s="480" t="n"/>
      <c r="I86" s="554" t="n"/>
      <c r="J86" s="554" t="n"/>
      <c r="K86" s="555" t="n"/>
      <c r="L86" s="555" t="n"/>
      <c r="M86" s="479">
        <f>IF(K86="","",YEAR(K86))</f>
        <v/>
      </c>
      <c r="N86" s="479">
        <f>IF(K86="","",ROUNDUP(MONTH(K86)/3,0))</f>
        <v/>
      </c>
      <c r="O86" s="479">
        <f>IF(K86="","",IF(MONTH(K86)&lt;=6,1,2))</f>
        <v/>
      </c>
      <c r="P86" s="480">
        <f>IF(B86&lt;&gt;"Actif",0,H86*J86)</f>
        <v/>
      </c>
      <c r="Q86" s="480">
        <f>IF(B86&lt;&gt;"Actif",0,H86*I86)</f>
        <v/>
      </c>
      <c r="R86" s="480">
        <f>IF(B86&lt;&gt;"Actif",0,H86*I86*J86)</f>
        <v/>
      </c>
      <c r="S86" s="479" t="n"/>
    </row>
    <row r="87">
      <c r="A87" s="479">
        <f>IF(C87="","",ROW()-4)</f>
        <v/>
      </c>
      <c r="B87" s="479" t="n"/>
      <c r="C87" s="479" t="n"/>
      <c r="D87" s="479" t="n"/>
      <c r="E87" s="479" t="n"/>
      <c r="F87" s="479" t="n"/>
      <c r="G87" s="479" t="n"/>
      <c r="H87" s="480" t="n"/>
      <c r="I87" s="554" t="n"/>
      <c r="J87" s="554" t="n"/>
      <c r="K87" s="555" t="n"/>
      <c r="L87" s="555" t="n"/>
      <c r="M87" s="479">
        <f>IF(K87="","",YEAR(K87))</f>
        <v/>
      </c>
      <c r="N87" s="479">
        <f>IF(K87="","",ROUNDUP(MONTH(K87)/3,0))</f>
        <v/>
      </c>
      <c r="O87" s="479">
        <f>IF(K87="","",IF(MONTH(K87)&lt;=6,1,2))</f>
        <v/>
      </c>
      <c r="P87" s="480">
        <f>IF(B87&lt;&gt;"Actif",0,H87*J87)</f>
        <v/>
      </c>
      <c r="Q87" s="480">
        <f>IF(B87&lt;&gt;"Actif",0,H87*I87)</f>
        <v/>
      </c>
      <c r="R87" s="480">
        <f>IF(B87&lt;&gt;"Actif",0,H87*I87*J87)</f>
        <v/>
      </c>
      <c r="S87" s="479" t="n"/>
    </row>
    <row r="88">
      <c r="A88" s="479">
        <f>IF(C88="","",ROW()-4)</f>
        <v/>
      </c>
      <c r="B88" s="479" t="n"/>
      <c r="C88" s="479" t="n"/>
      <c r="D88" s="479" t="n"/>
      <c r="E88" s="479" t="n"/>
      <c r="F88" s="479" t="n"/>
      <c r="G88" s="479" t="n"/>
      <c r="H88" s="480" t="n"/>
      <c r="I88" s="554" t="n"/>
      <c r="J88" s="554" t="n"/>
      <c r="K88" s="555" t="n"/>
      <c r="L88" s="555" t="n"/>
      <c r="M88" s="479">
        <f>IF(K88="","",YEAR(K88))</f>
        <v/>
      </c>
      <c r="N88" s="479">
        <f>IF(K88="","",ROUNDUP(MONTH(K88)/3,0))</f>
        <v/>
      </c>
      <c r="O88" s="479">
        <f>IF(K88="","",IF(MONTH(K88)&lt;=6,1,2))</f>
        <v/>
      </c>
      <c r="P88" s="480">
        <f>IF(B88&lt;&gt;"Actif",0,H88*J88)</f>
        <v/>
      </c>
      <c r="Q88" s="480">
        <f>IF(B88&lt;&gt;"Actif",0,H88*I88)</f>
        <v/>
      </c>
      <c r="R88" s="480">
        <f>IF(B88&lt;&gt;"Actif",0,H88*I88*J88)</f>
        <v/>
      </c>
      <c r="S88" s="479" t="n"/>
    </row>
    <row r="89">
      <c r="A89" s="479">
        <f>IF(C89="","",ROW()-4)</f>
        <v/>
      </c>
      <c r="B89" s="479" t="n"/>
      <c r="C89" s="479" t="n"/>
      <c r="D89" s="479" t="n"/>
      <c r="E89" s="479" t="n"/>
      <c r="F89" s="479" t="n"/>
      <c r="G89" s="479" t="n"/>
      <c r="H89" s="480" t="n"/>
      <c r="I89" s="554" t="n"/>
      <c r="J89" s="554" t="n"/>
      <c r="K89" s="555" t="n"/>
      <c r="L89" s="555" t="n"/>
      <c r="M89" s="479">
        <f>IF(K89="","",YEAR(K89))</f>
        <v/>
      </c>
      <c r="N89" s="479">
        <f>IF(K89="","",ROUNDUP(MONTH(K89)/3,0))</f>
        <v/>
      </c>
      <c r="O89" s="479">
        <f>IF(K89="","",IF(MONTH(K89)&lt;=6,1,2))</f>
        <v/>
      </c>
      <c r="P89" s="480">
        <f>IF(B89&lt;&gt;"Actif",0,H89*J89)</f>
        <v/>
      </c>
      <c r="Q89" s="480">
        <f>IF(B89&lt;&gt;"Actif",0,H89*I89)</f>
        <v/>
      </c>
      <c r="R89" s="480">
        <f>IF(B89&lt;&gt;"Actif",0,H89*I89*J89)</f>
        <v/>
      </c>
      <c r="S89" s="479" t="n"/>
    </row>
    <row r="90">
      <c r="A90" s="479">
        <f>IF(C90="","",ROW()-4)</f>
        <v/>
      </c>
      <c r="B90" s="479" t="n"/>
      <c r="C90" s="479" t="n"/>
      <c r="D90" s="479" t="n"/>
      <c r="E90" s="479" t="n"/>
      <c r="F90" s="479" t="n"/>
      <c r="G90" s="479" t="n"/>
      <c r="H90" s="480" t="n"/>
      <c r="I90" s="554" t="n"/>
      <c r="J90" s="554" t="n"/>
      <c r="K90" s="555" t="n"/>
      <c r="L90" s="555" t="n"/>
      <c r="M90" s="479">
        <f>IF(K90="","",YEAR(K90))</f>
        <v/>
      </c>
      <c r="N90" s="479">
        <f>IF(K90="","",ROUNDUP(MONTH(K90)/3,0))</f>
        <v/>
      </c>
      <c r="O90" s="479">
        <f>IF(K90="","",IF(MONTH(K90)&lt;=6,1,2))</f>
        <v/>
      </c>
      <c r="P90" s="480">
        <f>IF(B90&lt;&gt;"Actif",0,H90*J90)</f>
        <v/>
      </c>
      <c r="Q90" s="480">
        <f>IF(B90&lt;&gt;"Actif",0,H90*I90)</f>
        <v/>
      </c>
      <c r="R90" s="480">
        <f>IF(B90&lt;&gt;"Actif",0,H90*I90*J90)</f>
        <v/>
      </c>
      <c r="S90" s="479" t="n"/>
    </row>
    <row r="91">
      <c r="A91" s="479">
        <f>IF(C91="","",ROW()-4)</f>
        <v/>
      </c>
      <c r="B91" s="479" t="n"/>
      <c r="C91" s="479" t="n"/>
      <c r="D91" s="479" t="n"/>
      <c r="E91" s="479" t="n"/>
      <c r="F91" s="479" t="n"/>
      <c r="G91" s="479" t="n"/>
      <c r="H91" s="480" t="n"/>
      <c r="I91" s="554" t="n"/>
      <c r="J91" s="554" t="n"/>
      <c r="K91" s="555" t="n"/>
      <c r="L91" s="555" t="n"/>
      <c r="M91" s="479">
        <f>IF(K91="","",YEAR(K91))</f>
        <v/>
      </c>
      <c r="N91" s="479">
        <f>IF(K91="","",ROUNDUP(MONTH(K91)/3,0))</f>
        <v/>
      </c>
      <c r="O91" s="479">
        <f>IF(K91="","",IF(MONTH(K91)&lt;=6,1,2))</f>
        <v/>
      </c>
      <c r="P91" s="480">
        <f>IF(B91&lt;&gt;"Actif",0,H91*J91)</f>
        <v/>
      </c>
      <c r="Q91" s="480">
        <f>IF(B91&lt;&gt;"Actif",0,H91*I91)</f>
        <v/>
      </c>
      <c r="R91" s="480">
        <f>IF(B91&lt;&gt;"Actif",0,H91*I91*J91)</f>
        <v/>
      </c>
      <c r="S91" s="479" t="n"/>
    </row>
    <row r="92">
      <c r="A92" s="479">
        <f>IF(C92="","",ROW()-4)</f>
        <v/>
      </c>
      <c r="B92" s="479" t="n"/>
      <c r="C92" s="479" t="n"/>
      <c r="D92" s="479" t="n"/>
      <c r="E92" s="479" t="n"/>
      <c r="F92" s="479" t="n"/>
      <c r="G92" s="479" t="n"/>
      <c r="H92" s="480" t="n"/>
      <c r="I92" s="554" t="n"/>
      <c r="J92" s="554" t="n"/>
      <c r="K92" s="555" t="n"/>
      <c r="L92" s="555" t="n"/>
      <c r="M92" s="479">
        <f>IF(K92="","",YEAR(K92))</f>
        <v/>
      </c>
      <c r="N92" s="479">
        <f>IF(K92="","",ROUNDUP(MONTH(K92)/3,0))</f>
        <v/>
      </c>
      <c r="O92" s="479">
        <f>IF(K92="","",IF(MONTH(K92)&lt;=6,1,2))</f>
        <v/>
      </c>
      <c r="P92" s="480">
        <f>IF(B92&lt;&gt;"Actif",0,H92*J92)</f>
        <v/>
      </c>
      <c r="Q92" s="480">
        <f>IF(B92&lt;&gt;"Actif",0,H92*I92)</f>
        <v/>
      </c>
      <c r="R92" s="480">
        <f>IF(B92&lt;&gt;"Actif",0,H92*I92*J92)</f>
        <v/>
      </c>
      <c r="S92" s="479" t="n"/>
    </row>
    <row r="93">
      <c r="A93" s="479">
        <f>IF(C93="","",ROW()-4)</f>
        <v/>
      </c>
      <c r="B93" s="479" t="n"/>
      <c r="C93" s="479" t="n"/>
      <c r="D93" s="479" t="n"/>
      <c r="E93" s="479" t="n"/>
      <c r="F93" s="479" t="n"/>
      <c r="G93" s="479" t="n"/>
      <c r="H93" s="480" t="n"/>
      <c r="I93" s="554" t="n"/>
      <c r="J93" s="554" t="n"/>
      <c r="K93" s="555" t="n"/>
      <c r="L93" s="555" t="n"/>
      <c r="M93" s="479">
        <f>IF(K93="","",YEAR(K93))</f>
        <v/>
      </c>
      <c r="N93" s="479">
        <f>IF(K93="","",ROUNDUP(MONTH(K93)/3,0))</f>
        <v/>
      </c>
      <c r="O93" s="479">
        <f>IF(K93="","",IF(MONTH(K93)&lt;=6,1,2))</f>
        <v/>
      </c>
      <c r="P93" s="480">
        <f>IF(B93&lt;&gt;"Actif",0,H93*J93)</f>
        <v/>
      </c>
      <c r="Q93" s="480">
        <f>IF(B93&lt;&gt;"Actif",0,H93*I93)</f>
        <v/>
      </c>
      <c r="R93" s="480">
        <f>IF(B93&lt;&gt;"Actif",0,H93*I93*J93)</f>
        <v/>
      </c>
      <c r="S93" s="479" t="n"/>
    </row>
    <row r="94">
      <c r="A94" s="479">
        <f>IF(C94="","",ROW()-4)</f>
        <v/>
      </c>
      <c r="B94" s="479" t="n"/>
      <c r="C94" s="479" t="n"/>
      <c r="D94" s="479" t="n"/>
      <c r="E94" s="479" t="n"/>
      <c r="F94" s="479" t="n"/>
      <c r="G94" s="479" t="n"/>
      <c r="H94" s="480" t="n"/>
      <c r="I94" s="554" t="n"/>
      <c r="J94" s="554" t="n"/>
      <c r="K94" s="555" t="n"/>
      <c r="L94" s="555" t="n"/>
      <c r="M94" s="479">
        <f>IF(K94="","",YEAR(K94))</f>
        <v/>
      </c>
      <c r="N94" s="479">
        <f>IF(K94="","",ROUNDUP(MONTH(K94)/3,0))</f>
        <v/>
      </c>
      <c r="O94" s="479">
        <f>IF(K94="","",IF(MONTH(K94)&lt;=6,1,2))</f>
        <v/>
      </c>
      <c r="P94" s="480">
        <f>IF(B94&lt;&gt;"Actif",0,H94*J94)</f>
        <v/>
      </c>
      <c r="Q94" s="480">
        <f>IF(B94&lt;&gt;"Actif",0,H94*I94)</f>
        <v/>
      </c>
      <c r="R94" s="480">
        <f>IF(B94&lt;&gt;"Actif",0,H94*I94*J94)</f>
        <v/>
      </c>
      <c r="S94" s="479" t="n"/>
    </row>
    <row r="95">
      <c r="A95" s="479">
        <f>IF(C95="","",ROW()-4)</f>
        <v/>
      </c>
      <c r="B95" s="479" t="n"/>
      <c r="C95" s="479" t="n"/>
      <c r="D95" s="479" t="n"/>
      <c r="E95" s="479" t="n"/>
      <c r="F95" s="479" t="n"/>
      <c r="G95" s="479" t="n"/>
      <c r="H95" s="480" t="n"/>
      <c r="I95" s="554" t="n"/>
      <c r="J95" s="554" t="n"/>
      <c r="K95" s="555" t="n"/>
      <c r="L95" s="555" t="n"/>
      <c r="M95" s="479">
        <f>IF(K95="","",YEAR(K95))</f>
        <v/>
      </c>
      <c r="N95" s="479">
        <f>IF(K95="","",ROUNDUP(MONTH(K95)/3,0))</f>
        <v/>
      </c>
      <c r="O95" s="479">
        <f>IF(K95="","",IF(MONTH(K95)&lt;=6,1,2))</f>
        <v/>
      </c>
      <c r="P95" s="480">
        <f>IF(B95&lt;&gt;"Actif",0,H95*J95)</f>
        <v/>
      </c>
      <c r="Q95" s="480">
        <f>IF(B95&lt;&gt;"Actif",0,H95*I95)</f>
        <v/>
      </c>
      <c r="R95" s="480">
        <f>IF(B95&lt;&gt;"Actif",0,H95*I95*J95)</f>
        <v/>
      </c>
      <c r="S95" s="479" t="n"/>
    </row>
    <row r="96">
      <c r="A96" s="479">
        <f>IF(C96="","",ROW()-4)</f>
        <v/>
      </c>
      <c r="B96" s="479" t="n"/>
      <c r="C96" s="479" t="n"/>
      <c r="D96" s="479" t="n"/>
      <c r="E96" s="479" t="n"/>
      <c r="F96" s="479" t="n"/>
      <c r="G96" s="479" t="n"/>
      <c r="H96" s="480" t="n"/>
      <c r="I96" s="554" t="n"/>
      <c r="J96" s="554" t="n"/>
      <c r="K96" s="555" t="n"/>
      <c r="L96" s="555" t="n"/>
      <c r="M96" s="479">
        <f>IF(K96="","",YEAR(K96))</f>
        <v/>
      </c>
      <c r="N96" s="479">
        <f>IF(K96="","",ROUNDUP(MONTH(K96)/3,0))</f>
        <v/>
      </c>
      <c r="O96" s="479">
        <f>IF(K96="","",IF(MONTH(K96)&lt;=6,1,2))</f>
        <v/>
      </c>
      <c r="P96" s="480">
        <f>IF(B96&lt;&gt;"Actif",0,H96*J96)</f>
        <v/>
      </c>
      <c r="Q96" s="480">
        <f>IF(B96&lt;&gt;"Actif",0,H96*I96)</f>
        <v/>
      </c>
      <c r="R96" s="480">
        <f>IF(B96&lt;&gt;"Actif",0,H96*I96*J96)</f>
        <v/>
      </c>
      <c r="S96" s="479" t="n"/>
    </row>
    <row r="97">
      <c r="A97" s="479">
        <f>IF(C97="","",ROW()-4)</f>
        <v/>
      </c>
      <c r="B97" s="479" t="n"/>
      <c r="C97" s="479" t="n"/>
      <c r="D97" s="479" t="n"/>
      <c r="E97" s="479" t="n"/>
      <c r="F97" s="479" t="n"/>
      <c r="G97" s="479" t="n"/>
      <c r="H97" s="480" t="n"/>
      <c r="I97" s="554" t="n"/>
      <c r="J97" s="554" t="n"/>
      <c r="K97" s="555" t="n"/>
      <c r="L97" s="555" t="n"/>
      <c r="M97" s="479">
        <f>IF(K97="","",YEAR(K97))</f>
        <v/>
      </c>
      <c r="N97" s="479">
        <f>IF(K97="","",ROUNDUP(MONTH(K97)/3,0))</f>
        <v/>
      </c>
      <c r="O97" s="479">
        <f>IF(K97="","",IF(MONTH(K97)&lt;=6,1,2))</f>
        <v/>
      </c>
      <c r="P97" s="480">
        <f>IF(B97&lt;&gt;"Actif",0,H97*J97)</f>
        <v/>
      </c>
      <c r="Q97" s="480">
        <f>IF(B97&lt;&gt;"Actif",0,H97*I97)</f>
        <v/>
      </c>
      <c r="R97" s="480">
        <f>IF(B97&lt;&gt;"Actif",0,H97*I97*J97)</f>
        <v/>
      </c>
      <c r="S97" s="479" t="n"/>
    </row>
    <row r="98">
      <c r="A98" s="479">
        <f>IF(C98="","",ROW()-4)</f>
        <v/>
      </c>
      <c r="B98" s="479" t="n"/>
      <c r="C98" s="479" t="n"/>
      <c r="D98" s="479" t="n"/>
      <c r="E98" s="479" t="n"/>
      <c r="F98" s="479" t="n"/>
      <c r="G98" s="479" t="n"/>
      <c r="H98" s="480" t="n"/>
      <c r="I98" s="554" t="n"/>
      <c r="J98" s="554" t="n"/>
      <c r="K98" s="555" t="n"/>
      <c r="L98" s="555" t="n"/>
      <c r="M98" s="479">
        <f>IF(K98="","",YEAR(K98))</f>
        <v/>
      </c>
      <c r="N98" s="479">
        <f>IF(K98="","",ROUNDUP(MONTH(K98)/3,0))</f>
        <v/>
      </c>
      <c r="O98" s="479">
        <f>IF(K98="","",IF(MONTH(K98)&lt;=6,1,2))</f>
        <v/>
      </c>
      <c r="P98" s="480">
        <f>IF(B98&lt;&gt;"Actif",0,H98*J98)</f>
        <v/>
      </c>
      <c r="Q98" s="480">
        <f>IF(B98&lt;&gt;"Actif",0,H98*I98)</f>
        <v/>
      </c>
      <c r="R98" s="480">
        <f>IF(B98&lt;&gt;"Actif",0,H98*I98*J98)</f>
        <v/>
      </c>
      <c r="S98" s="479" t="n"/>
    </row>
    <row r="99">
      <c r="A99" s="479">
        <f>IF(C99="","",ROW()-4)</f>
        <v/>
      </c>
      <c r="B99" s="479" t="n"/>
      <c r="C99" s="479" t="n"/>
      <c r="D99" s="479" t="n"/>
      <c r="E99" s="479" t="n"/>
      <c r="F99" s="479" t="n"/>
      <c r="G99" s="479" t="n"/>
      <c r="H99" s="480" t="n"/>
      <c r="I99" s="554" t="n"/>
      <c r="J99" s="554" t="n"/>
      <c r="K99" s="555" t="n"/>
      <c r="L99" s="555" t="n"/>
      <c r="M99" s="479">
        <f>IF(K99="","",YEAR(K99))</f>
        <v/>
      </c>
      <c r="N99" s="479">
        <f>IF(K99="","",ROUNDUP(MONTH(K99)/3,0))</f>
        <v/>
      </c>
      <c r="O99" s="479">
        <f>IF(K99="","",IF(MONTH(K99)&lt;=6,1,2))</f>
        <v/>
      </c>
      <c r="P99" s="480">
        <f>IF(B99&lt;&gt;"Actif",0,H99*J99)</f>
        <v/>
      </c>
      <c r="Q99" s="480">
        <f>IF(B99&lt;&gt;"Actif",0,H99*I99)</f>
        <v/>
      </c>
      <c r="R99" s="480">
        <f>IF(B99&lt;&gt;"Actif",0,H99*I99*J99)</f>
        <v/>
      </c>
      <c r="S99" s="479" t="n"/>
    </row>
    <row r="100">
      <c r="A100" s="479">
        <f>IF(C100="","",ROW()-4)</f>
        <v/>
      </c>
      <c r="B100" s="479" t="n"/>
      <c r="C100" s="479" t="n"/>
      <c r="D100" s="479" t="n"/>
      <c r="E100" s="479" t="n"/>
      <c r="F100" s="479" t="n"/>
      <c r="G100" s="479" t="n"/>
      <c r="H100" s="480" t="n"/>
      <c r="I100" s="554" t="n"/>
      <c r="J100" s="554" t="n"/>
      <c r="K100" s="555" t="n"/>
      <c r="L100" s="555" t="n"/>
      <c r="M100" s="479">
        <f>IF(K100="","",YEAR(K100))</f>
        <v/>
      </c>
      <c r="N100" s="479">
        <f>IF(K100="","",ROUNDUP(MONTH(K100)/3,0))</f>
        <v/>
      </c>
      <c r="O100" s="479">
        <f>IF(K100="","",IF(MONTH(K100)&lt;=6,1,2))</f>
        <v/>
      </c>
      <c r="P100" s="480">
        <f>IF(B100&lt;&gt;"Actif",0,H100*J100)</f>
        <v/>
      </c>
      <c r="Q100" s="480">
        <f>IF(B100&lt;&gt;"Actif",0,H100*I100)</f>
        <v/>
      </c>
      <c r="R100" s="480">
        <f>IF(B100&lt;&gt;"Actif",0,H100*I100*J100)</f>
        <v/>
      </c>
      <c r="S100" s="479" t="n"/>
    </row>
    <row r="101">
      <c r="A101" s="479">
        <f>IF(C101="","",ROW()-4)</f>
        <v/>
      </c>
      <c r="B101" s="479" t="n"/>
      <c r="C101" s="479" t="n"/>
      <c r="D101" s="479" t="n"/>
      <c r="E101" s="479" t="n"/>
      <c r="F101" s="479" t="n"/>
      <c r="G101" s="479" t="n"/>
      <c r="H101" s="480" t="n"/>
      <c r="I101" s="554" t="n"/>
      <c r="J101" s="554" t="n"/>
      <c r="K101" s="555" t="n"/>
      <c r="L101" s="555" t="n"/>
      <c r="M101" s="479">
        <f>IF(K101="","",YEAR(K101))</f>
        <v/>
      </c>
      <c r="N101" s="479">
        <f>IF(K101="","",ROUNDUP(MONTH(K101)/3,0))</f>
        <v/>
      </c>
      <c r="O101" s="479">
        <f>IF(K101="","",IF(MONTH(K101)&lt;=6,1,2))</f>
        <v/>
      </c>
      <c r="P101" s="480">
        <f>IF(B101&lt;&gt;"Actif",0,H101*J101)</f>
        <v/>
      </c>
      <c r="Q101" s="480">
        <f>IF(B101&lt;&gt;"Actif",0,H101*I101)</f>
        <v/>
      </c>
      <c r="R101" s="480">
        <f>IF(B101&lt;&gt;"Actif",0,H101*I101*J101)</f>
        <v/>
      </c>
      <c r="S101" s="479" t="n"/>
    </row>
    <row r="102">
      <c r="A102" s="479">
        <f>IF(C102="","",ROW()-4)</f>
        <v/>
      </c>
      <c r="B102" s="479" t="n"/>
      <c r="C102" s="479" t="n"/>
      <c r="D102" s="479" t="n"/>
      <c r="E102" s="479" t="n"/>
      <c r="F102" s="479" t="n"/>
      <c r="G102" s="479" t="n"/>
      <c r="H102" s="480" t="n"/>
      <c r="I102" s="554" t="n"/>
      <c r="J102" s="554" t="n"/>
      <c r="K102" s="555" t="n"/>
      <c r="L102" s="555" t="n"/>
      <c r="M102" s="479">
        <f>IF(K102="","",YEAR(K102))</f>
        <v/>
      </c>
      <c r="N102" s="479">
        <f>IF(K102="","",ROUNDUP(MONTH(K102)/3,0))</f>
        <v/>
      </c>
      <c r="O102" s="479">
        <f>IF(K102="","",IF(MONTH(K102)&lt;=6,1,2))</f>
        <v/>
      </c>
      <c r="P102" s="480">
        <f>IF(B102&lt;&gt;"Actif",0,H102*J102)</f>
        <v/>
      </c>
      <c r="Q102" s="480">
        <f>IF(B102&lt;&gt;"Actif",0,H102*I102)</f>
        <v/>
      </c>
      <c r="R102" s="480">
        <f>IF(B102&lt;&gt;"Actif",0,H102*I102*J102)</f>
        <v/>
      </c>
      <c r="S102" s="479" t="n"/>
    </row>
    <row r="103">
      <c r="A103" s="479">
        <f>IF(C103="","",ROW()-4)</f>
        <v/>
      </c>
      <c r="B103" s="479" t="n"/>
      <c r="C103" s="479" t="n"/>
      <c r="D103" s="479" t="n"/>
      <c r="E103" s="479" t="n"/>
      <c r="F103" s="479" t="n"/>
      <c r="G103" s="479" t="n"/>
      <c r="H103" s="480" t="n"/>
      <c r="I103" s="554" t="n"/>
      <c r="J103" s="554" t="n"/>
      <c r="K103" s="555" t="n"/>
      <c r="L103" s="555" t="n"/>
      <c r="M103" s="479">
        <f>IF(K103="","",YEAR(K103))</f>
        <v/>
      </c>
      <c r="N103" s="479">
        <f>IF(K103="","",ROUNDUP(MONTH(K103)/3,0))</f>
        <v/>
      </c>
      <c r="O103" s="479">
        <f>IF(K103="","",IF(MONTH(K103)&lt;=6,1,2))</f>
        <v/>
      </c>
      <c r="P103" s="480">
        <f>IF(B103&lt;&gt;"Actif",0,H103*J103)</f>
        <v/>
      </c>
      <c r="Q103" s="480">
        <f>IF(B103&lt;&gt;"Actif",0,H103*I103)</f>
        <v/>
      </c>
      <c r="R103" s="480">
        <f>IF(B103&lt;&gt;"Actif",0,H103*I103*J103)</f>
        <v/>
      </c>
      <c r="S103" s="479" t="n"/>
    </row>
    <row r="104">
      <c r="A104" s="479">
        <f>IF(C104="","",ROW()-4)</f>
        <v/>
      </c>
      <c r="B104" s="479" t="n"/>
      <c r="C104" s="479" t="n"/>
      <c r="D104" s="479" t="n"/>
      <c r="E104" s="479" t="n"/>
      <c r="F104" s="479" t="n"/>
      <c r="G104" s="479" t="n"/>
      <c r="H104" s="480" t="n"/>
      <c r="I104" s="554" t="n"/>
      <c r="J104" s="554" t="n"/>
      <c r="K104" s="555" t="n"/>
      <c r="L104" s="555" t="n"/>
      <c r="M104" s="479">
        <f>IF(K104="","",YEAR(K104))</f>
        <v/>
      </c>
      <c r="N104" s="479">
        <f>IF(K104="","",ROUNDUP(MONTH(K104)/3,0))</f>
        <v/>
      </c>
      <c r="O104" s="479">
        <f>IF(K104="","",IF(MONTH(K104)&lt;=6,1,2))</f>
        <v/>
      </c>
      <c r="P104" s="480">
        <f>IF(B104&lt;&gt;"Actif",0,H104*J104)</f>
        <v/>
      </c>
      <c r="Q104" s="480">
        <f>IF(B104&lt;&gt;"Actif",0,H104*I104)</f>
        <v/>
      </c>
      <c r="R104" s="480">
        <f>IF(B104&lt;&gt;"Actif",0,H104*I104*J104)</f>
        <v/>
      </c>
      <c r="S104" s="479" t="n"/>
    </row>
    <row r="105">
      <c r="A105" s="479">
        <f>IF(C105="","",ROW()-4)</f>
        <v/>
      </c>
      <c r="B105" s="479" t="n"/>
      <c r="C105" s="479" t="n"/>
      <c r="D105" s="479" t="n"/>
      <c r="E105" s="479" t="n"/>
      <c r="F105" s="479" t="n"/>
      <c r="G105" s="479" t="n"/>
      <c r="H105" s="480" t="n"/>
      <c r="I105" s="554" t="n"/>
      <c r="J105" s="554" t="n"/>
      <c r="K105" s="555" t="n"/>
      <c r="L105" s="555" t="n"/>
      <c r="M105" s="479">
        <f>IF(K105="","",YEAR(K105))</f>
        <v/>
      </c>
      <c r="N105" s="479">
        <f>IF(K105="","",ROUNDUP(MONTH(K105)/3,0))</f>
        <v/>
      </c>
      <c r="O105" s="479">
        <f>IF(K105="","",IF(MONTH(K105)&lt;=6,1,2))</f>
        <v/>
      </c>
      <c r="P105" s="480">
        <f>IF(B105&lt;&gt;"Actif",0,H105*J105)</f>
        <v/>
      </c>
      <c r="Q105" s="480">
        <f>IF(B105&lt;&gt;"Actif",0,H105*I105)</f>
        <v/>
      </c>
      <c r="R105" s="480">
        <f>IF(B105&lt;&gt;"Actif",0,H105*I105*J105)</f>
        <v/>
      </c>
      <c r="S105" s="479" t="n"/>
    </row>
    <row r="106">
      <c r="A106" s="479">
        <f>IF(C106="","",ROW()-4)</f>
        <v/>
      </c>
      <c r="B106" s="479" t="n"/>
      <c r="C106" s="479" t="n"/>
      <c r="D106" s="479" t="n"/>
      <c r="E106" s="479" t="n"/>
      <c r="F106" s="479" t="n"/>
      <c r="G106" s="479" t="n"/>
      <c r="H106" s="480" t="n"/>
      <c r="I106" s="554" t="n"/>
      <c r="J106" s="554" t="n"/>
      <c r="K106" s="555" t="n"/>
      <c r="L106" s="555" t="n"/>
      <c r="M106" s="479">
        <f>IF(K106="","",YEAR(K106))</f>
        <v/>
      </c>
      <c r="N106" s="479">
        <f>IF(K106="","",ROUNDUP(MONTH(K106)/3,0))</f>
        <v/>
      </c>
      <c r="O106" s="479">
        <f>IF(K106="","",IF(MONTH(K106)&lt;=6,1,2))</f>
        <v/>
      </c>
      <c r="P106" s="480">
        <f>IF(B106&lt;&gt;"Actif",0,H106*J106)</f>
        <v/>
      </c>
      <c r="Q106" s="480">
        <f>IF(B106&lt;&gt;"Actif",0,H106*I106)</f>
        <v/>
      </c>
      <c r="R106" s="480">
        <f>IF(B106&lt;&gt;"Actif",0,H106*I106*J106)</f>
        <v/>
      </c>
      <c r="S106" s="479" t="n"/>
    </row>
    <row r="107">
      <c r="A107" s="479">
        <f>IF(C107="","",ROW()-4)</f>
        <v/>
      </c>
      <c r="B107" s="479" t="n"/>
      <c r="C107" s="479" t="n"/>
      <c r="D107" s="479" t="n"/>
      <c r="E107" s="479" t="n"/>
      <c r="F107" s="479" t="n"/>
      <c r="G107" s="479" t="n"/>
      <c r="H107" s="480" t="n"/>
      <c r="I107" s="554" t="n"/>
      <c r="J107" s="554" t="n"/>
      <c r="K107" s="555" t="n"/>
      <c r="L107" s="555" t="n"/>
      <c r="M107" s="479">
        <f>IF(K107="","",YEAR(K107))</f>
        <v/>
      </c>
      <c r="N107" s="479">
        <f>IF(K107="","",ROUNDUP(MONTH(K107)/3,0))</f>
        <v/>
      </c>
      <c r="O107" s="479">
        <f>IF(K107="","",IF(MONTH(K107)&lt;=6,1,2))</f>
        <v/>
      </c>
      <c r="P107" s="480">
        <f>IF(B107&lt;&gt;"Actif",0,H107*J107)</f>
        <v/>
      </c>
      <c r="Q107" s="480">
        <f>IF(B107&lt;&gt;"Actif",0,H107*I107)</f>
        <v/>
      </c>
      <c r="R107" s="480">
        <f>IF(B107&lt;&gt;"Actif",0,H107*I107*J107)</f>
        <v/>
      </c>
      <c r="S107" s="479" t="n"/>
    </row>
    <row r="108">
      <c r="A108" s="479">
        <f>IF(C108="","",ROW()-4)</f>
        <v/>
      </c>
      <c r="B108" s="479" t="n"/>
      <c r="C108" s="479" t="n"/>
      <c r="D108" s="479" t="n"/>
      <c r="E108" s="479" t="n"/>
      <c r="F108" s="479" t="n"/>
      <c r="G108" s="479" t="n"/>
      <c r="H108" s="480" t="n"/>
      <c r="I108" s="554" t="n"/>
      <c r="J108" s="554" t="n"/>
      <c r="K108" s="555" t="n"/>
      <c r="L108" s="555" t="n"/>
      <c r="M108" s="479">
        <f>IF(K108="","",YEAR(K108))</f>
        <v/>
      </c>
      <c r="N108" s="479">
        <f>IF(K108="","",ROUNDUP(MONTH(K108)/3,0))</f>
        <v/>
      </c>
      <c r="O108" s="479">
        <f>IF(K108="","",IF(MONTH(K108)&lt;=6,1,2))</f>
        <v/>
      </c>
      <c r="P108" s="480">
        <f>IF(B108&lt;&gt;"Actif",0,H108*J108)</f>
        <v/>
      </c>
      <c r="Q108" s="480">
        <f>IF(B108&lt;&gt;"Actif",0,H108*I108)</f>
        <v/>
      </c>
      <c r="R108" s="480">
        <f>IF(B108&lt;&gt;"Actif",0,H108*I108*J108)</f>
        <v/>
      </c>
      <c r="S108" s="479" t="n"/>
    </row>
    <row r="109">
      <c r="A109" s="479">
        <f>IF(C109="","",ROW()-4)</f>
        <v/>
      </c>
      <c r="B109" s="479" t="n"/>
      <c r="C109" s="479" t="n"/>
      <c r="D109" s="479" t="n"/>
      <c r="E109" s="479" t="n"/>
      <c r="F109" s="479" t="n"/>
      <c r="G109" s="479" t="n"/>
      <c r="H109" s="480" t="n"/>
      <c r="I109" s="554" t="n"/>
      <c r="J109" s="554" t="n"/>
      <c r="K109" s="555" t="n"/>
      <c r="L109" s="555" t="n"/>
      <c r="M109" s="479">
        <f>IF(K109="","",YEAR(K109))</f>
        <v/>
      </c>
      <c r="N109" s="479">
        <f>IF(K109="","",ROUNDUP(MONTH(K109)/3,0))</f>
        <v/>
      </c>
      <c r="O109" s="479">
        <f>IF(K109="","",IF(MONTH(K109)&lt;=6,1,2))</f>
        <v/>
      </c>
      <c r="P109" s="480">
        <f>IF(B109&lt;&gt;"Actif",0,H109*J109)</f>
        <v/>
      </c>
      <c r="Q109" s="480">
        <f>IF(B109&lt;&gt;"Actif",0,H109*I109)</f>
        <v/>
      </c>
      <c r="R109" s="480">
        <f>IF(B109&lt;&gt;"Actif",0,H109*I109*J109)</f>
        <v/>
      </c>
      <c r="S109" s="479" t="n"/>
    </row>
    <row r="110">
      <c r="A110" s="479">
        <f>IF(C110="","",ROW()-4)</f>
        <v/>
      </c>
      <c r="B110" s="479" t="n"/>
      <c r="C110" s="479" t="n"/>
      <c r="D110" s="479" t="n"/>
      <c r="E110" s="479" t="n"/>
      <c r="F110" s="479" t="n"/>
      <c r="G110" s="479" t="n"/>
      <c r="H110" s="480" t="n"/>
      <c r="I110" s="554" t="n"/>
      <c r="J110" s="554" t="n"/>
      <c r="K110" s="555" t="n"/>
      <c r="L110" s="555" t="n"/>
      <c r="M110" s="479">
        <f>IF(K110="","",YEAR(K110))</f>
        <v/>
      </c>
      <c r="N110" s="479">
        <f>IF(K110="","",ROUNDUP(MONTH(K110)/3,0))</f>
        <v/>
      </c>
      <c r="O110" s="479">
        <f>IF(K110="","",IF(MONTH(K110)&lt;=6,1,2))</f>
        <v/>
      </c>
      <c r="P110" s="480">
        <f>IF(B110&lt;&gt;"Actif",0,H110*J110)</f>
        <v/>
      </c>
      <c r="Q110" s="480">
        <f>IF(B110&lt;&gt;"Actif",0,H110*I110)</f>
        <v/>
      </c>
      <c r="R110" s="480">
        <f>IF(B110&lt;&gt;"Actif",0,H110*I110*J110)</f>
        <v/>
      </c>
      <c r="S110" s="479" t="n"/>
    </row>
    <row r="111">
      <c r="A111" s="479">
        <f>IF(C111="","",ROW()-4)</f>
        <v/>
      </c>
      <c r="B111" s="479" t="n"/>
      <c r="C111" s="479" t="n"/>
      <c r="D111" s="479" t="n"/>
      <c r="E111" s="479" t="n"/>
      <c r="F111" s="479" t="n"/>
      <c r="G111" s="479" t="n"/>
      <c r="H111" s="480" t="n"/>
      <c r="I111" s="554" t="n"/>
      <c r="J111" s="554" t="n"/>
      <c r="K111" s="555" t="n"/>
      <c r="L111" s="555" t="n"/>
      <c r="M111" s="479">
        <f>IF(K111="","",YEAR(K111))</f>
        <v/>
      </c>
      <c r="N111" s="479">
        <f>IF(K111="","",ROUNDUP(MONTH(K111)/3,0))</f>
        <v/>
      </c>
      <c r="O111" s="479">
        <f>IF(K111="","",IF(MONTH(K111)&lt;=6,1,2))</f>
        <v/>
      </c>
      <c r="P111" s="480">
        <f>IF(B111&lt;&gt;"Actif",0,H111*J111)</f>
        <v/>
      </c>
      <c r="Q111" s="480">
        <f>IF(B111&lt;&gt;"Actif",0,H111*I111)</f>
        <v/>
      </c>
      <c r="R111" s="480">
        <f>IF(B111&lt;&gt;"Actif",0,H111*I111*J111)</f>
        <v/>
      </c>
      <c r="S111" s="479" t="n"/>
    </row>
    <row r="112">
      <c r="A112" s="479">
        <f>IF(C112="","",ROW()-4)</f>
        <v/>
      </c>
      <c r="B112" s="479" t="n"/>
      <c r="C112" s="479" t="n"/>
      <c r="D112" s="479" t="n"/>
      <c r="E112" s="479" t="n"/>
      <c r="F112" s="479" t="n"/>
      <c r="G112" s="479" t="n"/>
      <c r="H112" s="480" t="n"/>
      <c r="I112" s="554" t="n"/>
      <c r="J112" s="554" t="n"/>
      <c r="K112" s="555" t="n"/>
      <c r="L112" s="555" t="n"/>
      <c r="M112" s="479">
        <f>IF(K112="","",YEAR(K112))</f>
        <v/>
      </c>
      <c r="N112" s="479">
        <f>IF(K112="","",ROUNDUP(MONTH(K112)/3,0))</f>
        <v/>
      </c>
      <c r="O112" s="479">
        <f>IF(K112="","",IF(MONTH(K112)&lt;=6,1,2))</f>
        <v/>
      </c>
      <c r="P112" s="480">
        <f>IF(B112&lt;&gt;"Actif",0,H112*J112)</f>
        <v/>
      </c>
      <c r="Q112" s="480">
        <f>IF(B112&lt;&gt;"Actif",0,H112*I112)</f>
        <v/>
      </c>
      <c r="R112" s="480">
        <f>IF(B112&lt;&gt;"Actif",0,H112*I112*J112)</f>
        <v/>
      </c>
      <c r="S112" s="479" t="n"/>
    </row>
    <row r="113">
      <c r="A113" s="479">
        <f>IF(C113="","",ROW()-4)</f>
        <v/>
      </c>
      <c r="B113" s="479" t="n"/>
      <c r="C113" s="479" t="n"/>
      <c r="D113" s="479" t="n"/>
      <c r="E113" s="479" t="n"/>
      <c r="F113" s="479" t="n"/>
      <c r="G113" s="479" t="n"/>
      <c r="H113" s="480" t="n"/>
      <c r="I113" s="554" t="n"/>
      <c r="J113" s="554" t="n"/>
      <c r="K113" s="555" t="n"/>
      <c r="L113" s="555" t="n"/>
      <c r="M113" s="479">
        <f>IF(K113="","",YEAR(K113))</f>
        <v/>
      </c>
      <c r="N113" s="479">
        <f>IF(K113="","",ROUNDUP(MONTH(K113)/3,0))</f>
        <v/>
      </c>
      <c r="O113" s="479">
        <f>IF(K113="","",IF(MONTH(K113)&lt;=6,1,2))</f>
        <v/>
      </c>
      <c r="P113" s="480">
        <f>IF(B113&lt;&gt;"Actif",0,H113*J113)</f>
        <v/>
      </c>
      <c r="Q113" s="480">
        <f>IF(B113&lt;&gt;"Actif",0,H113*I113)</f>
        <v/>
      </c>
      <c r="R113" s="480">
        <f>IF(B113&lt;&gt;"Actif",0,H113*I113*J113)</f>
        <v/>
      </c>
      <c r="S113" s="479" t="n"/>
    </row>
    <row r="114">
      <c r="A114" s="479">
        <f>IF(C114="","",ROW()-4)</f>
        <v/>
      </c>
      <c r="B114" s="479" t="n"/>
      <c r="C114" s="479" t="n"/>
      <c r="D114" s="479" t="n"/>
      <c r="E114" s="479" t="n"/>
      <c r="F114" s="479" t="n"/>
      <c r="G114" s="479" t="n"/>
      <c r="H114" s="480" t="n"/>
      <c r="I114" s="554" t="n"/>
      <c r="J114" s="554" t="n"/>
      <c r="K114" s="555" t="n"/>
      <c r="L114" s="555" t="n"/>
      <c r="M114" s="479">
        <f>IF(K114="","",YEAR(K114))</f>
        <v/>
      </c>
      <c r="N114" s="479">
        <f>IF(K114="","",ROUNDUP(MONTH(K114)/3,0))</f>
        <v/>
      </c>
      <c r="O114" s="479">
        <f>IF(K114="","",IF(MONTH(K114)&lt;=6,1,2))</f>
        <v/>
      </c>
      <c r="P114" s="480">
        <f>IF(B114&lt;&gt;"Actif",0,H114*J114)</f>
        <v/>
      </c>
      <c r="Q114" s="480">
        <f>IF(B114&lt;&gt;"Actif",0,H114*I114)</f>
        <v/>
      </c>
      <c r="R114" s="480">
        <f>IF(B114&lt;&gt;"Actif",0,H114*I114*J114)</f>
        <v/>
      </c>
      <c r="S114" s="479" t="n"/>
    </row>
    <row r="115">
      <c r="A115" s="479">
        <f>IF(C115="","",ROW()-4)</f>
        <v/>
      </c>
      <c r="B115" s="479" t="n"/>
      <c r="C115" s="479" t="n"/>
      <c r="D115" s="479" t="n"/>
      <c r="E115" s="479" t="n"/>
      <c r="F115" s="479" t="n"/>
      <c r="G115" s="479" t="n"/>
      <c r="H115" s="480" t="n"/>
      <c r="I115" s="554" t="n"/>
      <c r="J115" s="554" t="n"/>
      <c r="K115" s="555" t="n"/>
      <c r="L115" s="555" t="n"/>
      <c r="M115" s="479">
        <f>IF(K115="","",YEAR(K115))</f>
        <v/>
      </c>
      <c r="N115" s="479">
        <f>IF(K115="","",ROUNDUP(MONTH(K115)/3,0))</f>
        <v/>
      </c>
      <c r="O115" s="479">
        <f>IF(K115="","",IF(MONTH(K115)&lt;=6,1,2))</f>
        <v/>
      </c>
      <c r="P115" s="480">
        <f>IF(B115&lt;&gt;"Actif",0,H115*J115)</f>
        <v/>
      </c>
      <c r="Q115" s="480">
        <f>IF(B115&lt;&gt;"Actif",0,H115*I115)</f>
        <v/>
      </c>
      <c r="R115" s="480">
        <f>IF(B115&lt;&gt;"Actif",0,H115*I115*J115)</f>
        <v/>
      </c>
      <c r="S115" s="479" t="n"/>
    </row>
    <row r="116">
      <c r="A116" s="479">
        <f>IF(C116="","",ROW()-4)</f>
        <v/>
      </c>
      <c r="B116" s="479" t="n"/>
      <c r="C116" s="479" t="n"/>
      <c r="D116" s="479" t="n"/>
      <c r="E116" s="479" t="n"/>
      <c r="F116" s="479" t="n"/>
      <c r="G116" s="479" t="n"/>
      <c r="H116" s="480" t="n"/>
      <c r="I116" s="554" t="n"/>
      <c r="J116" s="554" t="n"/>
      <c r="K116" s="555" t="n"/>
      <c r="L116" s="555" t="n"/>
      <c r="M116" s="479">
        <f>IF(K116="","",YEAR(K116))</f>
        <v/>
      </c>
      <c r="N116" s="479">
        <f>IF(K116="","",ROUNDUP(MONTH(K116)/3,0))</f>
        <v/>
      </c>
      <c r="O116" s="479">
        <f>IF(K116="","",IF(MONTH(K116)&lt;=6,1,2))</f>
        <v/>
      </c>
      <c r="P116" s="480">
        <f>IF(B116&lt;&gt;"Actif",0,H116*J116)</f>
        <v/>
      </c>
      <c r="Q116" s="480">
        <f>IF(B116&lt;&gt;"Actif",0,H116*I116)</f>
        <v/>
      </c>
      <c r="R116" s="480">
        <f>IF(B116&lt;&gt;"Actif",0,H116*I116*J116)</f>
        <v/>
      </c>
      <c r="S116" s="479" t="n"/>
    </row>
    <row r="117">
      <c r="A117" s="479">
        <f>IF(C117="","",ROW()-4)</f>
        <v/>
      </c>
      <c r="B117" s="479" t="n"/>
      <c r="C117" s="479" t="n"/>
      <c r="D117" s="479" t="n"/>
      <c r="E117" s="479" t="n"/>
      <c r="F117" s="479" t="n"/>
      <c r="G117" s="479" t="n"/>
      <c r="H117" s="480" t="n"/>
      <c r="I117" s="554" t="n"/>
      <c r="J117" s="554" t="n"/>
      <c r="K117" s="555" t="n"/>
      <c r="L117" s="555" t="n"/>
      <c r="M117" s="479">
        <f>IF(K117="","",YEAR(K117))</f>
        <v/>
      </c>
      <c r="N117" s="479">
        <f>IF(K117="","",ROUNDUP(MONTH(K117)/3,0))</f>
        <v/>
      </c>
      <c r="O117" s="479">
        <f>IF(K117="","",IF(MONTH(K117)&lt;=6,1,2))</f>
        <v/>
      </c>
      <c r="P117" s="480">
        <f>IF(B117&lt;&gt;"Actif",0,H117*J117)</f>
        <v/>
      </c>
      <c r="Q117" s="480">
        <f>IF(B117&lt;&gt;"Actif",0,H117*I117)</f>
        <v/>
      </c>
      <c r="R117" s="480">
        <f>IF(B117&lt;&gt;"Actif",0,H117*I117*J117)</f>
        <v/>
      </c>
      <c r="S117" s="479" t="n"/>
    </row>
    <row r="118">
      <c r="A118" s="479">
        <f>IF(C118="","",ROW()-4)</f>
        <v/>
      </c>
      <c r="B118" s="479" t="n"/>
      <c r="C118" s="479" t="n"/>
      <c r="D118" s="479" t="n"/>
      <c r="E118" s="479" t="n"/>
      <c r="F118" s="479" t="n"/>
      <c r="G118" s="479" t="n"/>
      <c r="H118" s="480" t="n"/>
      <c r="I118" s="554" t="n"/>
      <c r="J118" s="554" t="n"/>
      <c r="K118" s="555" t="n"/>
      <c r="L118" s="555" t="n"/>
      <c r="M118" s="479">
        <f>IF(K118="","",YEAR(K118))</f>
        <v/>
      </c>
      <c r="N118" s="479">
        <f>IF(K118="","",ROUNDUP(MONTH(K118)/3,0))</f>
        <v/>
      </c>
      <c r="O118" s="479">
        <f>IF(K118="","",IF(MONTH(K118)&lt;=6,1,2))</f>
        <v/>
      </c>
      <c r="P118" s="480">
        <f>IF(B118&lt;&gt;"Actif",0,H118*J118)</f>
        <v/>
      </c>
      <c r="Q118" s="480">
        <f>IF(B118&lt;&gt;"Actif",0,H118*I118)</f>
        <v/>
      </c>
      <c r="R118" s="480">
        <f>IF(B118&lt;&gt;"Actif",0,H118*I118*J118)</f>
        <v/>
      </c>
      <c r="S118" s="479" t="n"/>
    </row>
    <row r="119">
      <c r="A119" s="479">
        <f>IF(C119="","",ROW()-4)</f>
        <v/>
      </c>
      <c r="B119" s="479" t="n"/>
      <c r="C119" s="479" t="n"/>
      <c r="D119" s="479" t="n"/>
      <c r="E119" s="479" t="n"/>
      <c r="F119" s="479" t="n"/>
      <c r="G119" s="479" t="n"/>
      <c r="H119" s="480" t="n"/>
      <c r="I119" s="554" t="n"/>
      <c r="J119" s="554" t="n"/>
      <c r="K119" s="555" t="n"/>
      <c r="L119" s="555" t="n"/>
      <c r="M119" s="479">
        <f>IF(K119="","",YEAR(K119))</f>
        <v/>
      </c>
      <c r="N119" s="479">
        <f>IF(K119="","",ROUNDUP(MONTH(K119)/3,0))</f>
        <v/>
      </c>
      <c r="O119" s="479">
        <f>IF(K119="","",IF(MONTH(K119)&lt;=6,1,2))</f>
        <v/>
      </c>
      <c r="P119" s="480">
        <f>IF(B119&lt;&gt;"Actif",0,H119*J119)</f>
        <v/>
      </c>
      <c r="Q119" s="480">
        <f>IF(B119&lt;&gt;"Actif",0,H119*I119)</f>
        <v/>
      </c>
      <c r="R119" s="480">
        <f>IF(B119&lt;&gt;"Actif",0,H119*I119*J119)</f>
        <v/>
      </c>
      <c r="S119" s="479" t="n"/>
    </row>
    <row r="120">
      <c r="A120" s="479">
        <f>IF(C120="","",ROW()-4)</f>
        <v/>
      </c>
      <c r="B120" s="479" t="n"/>
      <c r="C120" s="479" t="n"/>
      <c r="D120" s="479" t="n"/>
      <c r="E120" s="479" t="n"/>
      <c r="F120" s="479" t="n"/>
      <c r="G120" s="479" t="n"/>
      <c r="H120" s="480" t="n"/>
      <c r="I120" s="554" t="n"/>
      <c r="J120" s="554" t="n"/>
      <c r="K120" s="555" t="n"/>
      <c r="L120" s="555" t="n"/>
      <c r="M120" s="479">
        <f>IF(K120="","",YEAR(K120))</f>
        <v/>
      </c>
      <c r="N120" s="479">
        <f>IF(K120="","",ROUNDUP(MONTH(K120)/3,0))</f>
        <v/>
      </c>
      <c r="O120" s="479">
        <f>IF(K120="","",IF(MONTH(K120)&lt;=6,1,2))</f>
        <v/>
      </c>
      <c r="P120" s="480">
        <f>IF(B120&lt;&gt;"Actif",0,H120*J120)</f>
        <v/>
      </c>
      <c r="Q120" s="480">
        <f>IF(B120&lt;&gt;"Actif",0,H120*I120)</f>
        <v/>
      </c>
      <c r="R120" s="480">
        <f>IF(B120&lt;&gt;"Actif",0,H120*I120*J120)</f>
        <v/>
      </c>
      <c r="S120" s="479" t="n"/>
    </row>
    <row r="121">
      <c r="A121" s="479">
        <f>IF(C121="","",ROW()-4)</f>
        <v/>
      </c>
      <c r="B121" s="479" t="n"/>
      <c r="C121" s="479" t="n"/>
      <c r="D121" s="479" t="n"/>
      <c r="E121" s="479" t="n"/>
      <c r="F121" s="479" t="n"/>
      <c r="G121" s="479" t="n"/>
      <c r="H121" s="480" t="n"/>
      <c r="I121" s="554" t="n"/>
      <c r="J121" s="554" t="n"/>
      <c r="K121" s="555" t="n"/>
      <c r="L121" s="555" t="n"/>
      <c r="M121" s="479">
        <f>IF(K121="","",YEAR(K121))</f>
        <v/>
      </c>
      <c r="N121" s="479">
        <f>IF(K121="","",ROUNDUP(MONTH(K121)/3,0))</f>
        <v/>
      </c>
      <c r="O121" s="479">
        <f>IF(K121="","",IF(MONTH(K121)&lt;=6,1,2))</f>
        <v/>
      </c>
      <c r="P121" s="480">
        <f>IF(B121&lt;&gt;"Actif",0,H121*J121)</f>
        <v/>
      </c>
      <c r="Q121" s="480">
        <f>IF(B121&lt;&gt;"Actif",0,H121*I121)</f>
        <v/>
      </c>
      <c r="R121" s="480">
        <f>IF(B121&lt;&gt;"Actif",0,H121*I121*J121)</f>
        <v/>
      </c>
      <c r="S121" s="479" t="n"/>
    </row>
    <row r="122">
      <c r="A122" s="479">
        <f>IF(C122="","",ROW()-4)</f>
        <v/>
      </c>
      <c r="B122" s="479" t="n"/>
      <c r="C122" s="479" t="n"/>
      <c r="D122" s="479" t="n"/>
      <c r="E122" s="479" t="n"/>
      <c r="F122" s="479" t="n"/>
      <c r="G122" s="479" t="n"/>
      <c r="H122" s="480" t="n"/>
      <c r="I122" s="554" t="n"/>
      <c r="J122" s="554" t="n"/>
      <c r="K122" s="555" t="n"/>
      <c r="L122" s="555" t="n"/>
      <c r="M122" s="479">
        <f>IF(K122="","",YEAR(K122))</f>
        <v/>
      </c>
      <c r="N122" s="479">
        <f>IF(K122="","",ROUNDUP(MONTH(K122)/3,0))</f>
        <v/>
      </c>
      <c r="O122" s="479">
        <f>IF(K122="","",IF(MONTH(K122)&lt;=6,1,2))</f>
        <v/>
      </c>
      <c r="P122" s="480">
        <f>IF(B122&lt;&gt;"Actif",0,H122*J122)</f>
        <v/>
      </c>
      <c r="Q122" s="480">
        <f>IF(B122&lt;&gt;"Actif",0,H122*I122)</f>
        <v/>
      </c>
      <c r="R122" s="480">
        <f>IF(B122&lt;&gt;"Actif",0,H122*I122*J122)</f>
        <v/>
      </c>
      <c r="S122" s="479" t="n"/>
    </row>
    <row r="123">
      <c r="A123" s="479">
        <f>IF(C123="","",ROW()-4)</f>
        <v/>
      </c>
      <c r="B123" s="479" t="n"/>
      <c r="C123" s="479" t="n"/>
      <c r="D123" s="479" t="n"/>
      <c r="E123" s="479" t="n"/>
      <c r="F123" s="479" t="n"/>
      <c r="G123" s="479" t="n"/>
      <c r="H123" s="480" t="n"/>
      <c r="I123" s="554" t="n"/>
      <c r="J123" s="554" t="n"/>
      <c r="K123" s="555" t="n"/>
      <c r="L123" s="555" t="n"/>
      <c r="M123" s="479">
        <f>IF(K123="","",YEAR(K123))</f>
        <v/>
      </c>
      <c r="N123" s="479">
        <f>IF(K123="","",ROUNDUP(MONTH(K123)/3,0))</f>
        <v/>
      </c>
      <c r="O123" s="479">
        <f>IF(K123="","",IF(MONTH(K123)&lt;=6,1,2))</f>
        <v/>
      </c>
      <c r="P123" s="480">
        <f>IF(B123&lt;&gt;"Actif",0,H123*J123)</f>
        <v/>
      </c>
      <c r="Q123" s="480">
        <f>IF(B123&lt;&gt;"Actif",0,H123*I123)</f>
        <v/>
      </c>
      <c r="R123" s="480">
        <f>IF(B123&lt;&gt;"Actif",0,H123*I123*J123)</f>
        <v/>
      </c>
      <c r="S123" s="479" t="n"/>
    </row>
    <row r="124">
      <c r="A124" s="479">
        <f>IF(C124="","",ROW()-4)</f>
        <v/>
      </c>
      <c r="B124" s="479" t="n"/>
      <c r="C124" s="479" t="n"/>
      <c r="D124" s="479" t="n"/>
      <c r="E124" s="479" t="n"/>
      <c r="F124" s="479" t="n"/>
      <c r="G124" s="479" t="n"/>
      <c r="H124" s="480" t="n"/>
      <c r="I124" s="554" t="n"/>
      <c r="J124" s="554" t="n"/>
      <c r="K124" s="555" t="n"/>
      <c r="L124" s="555" t="n"/>
      <c r="M124" s="479">
        <f>IF(K124="","",YEAR(K124))</f>
        <v/>
      </c>
      <c r="N124" s="479">
        <f>IF(K124="","",ROUNDUP(MONTH(K124)/3,0))</f>
        <v/>
      </c>
      <c r="O124" s="479">
        <f>IF(K124="","",IF(MONTH(K124)&lt;=6,1,2))</f>
        <v/>
      </c>
      <c r="P124" s="480">
        <f>IF(B124&lt;&gt;"Actif",0,H124*J124)</f>
        <v/>
      </c>
      <c r="Q124" s="480">
        <f>IF(B124&lt;&gt;"Actif",0,H124*I124)</f>
        <v/>
      </c>
      <c r="R124" s="480">
        <f>IF(B124&lt;&gt;"Actif",0,H124*I124*J124)</f>
        <v/>
      </c>
      <c r="S124" s="479" t="n"/>
    </row>
    <row r="125">
      <c r="A125" s="479">
        <f>IF(C125="","",ROW()-4)</f>
        <v/>
      </c>
      <c r="B125" s="479" t="n"/>
      <c r="C125" s="479" t="n"/>
      <c r="D125" s="479" t="n"/>
      <c r="E125" s="479" t="n"/>
      <c r="F125" s="479" t="n"/>
      <c r="G125" s="479" t="n"/>
      <c r="H125" s="480" t="n"/>
      <c r="I125" s="554" t="n"/>
      <c r="J125" s="554" t="n"/>
      <c r="K125" s="555" t="n"/>
      <c r="L125" s="555" t="n"/>
      <c r="M125" s="479">
        <f>IF(K125="","",YEAR(K125))</f>
        <v/>
      </c>
      <c r="N125" s="479">
        <f>IF(K125="","",ROUNDUP(MONTH(K125)/3,0))</f>
        <v/>
      </c>
      <c r="O125" s="479">
        <f>IF(K125="","",IF(MONTH(K125)&lt;=6,1,2))</f>
        <v/>
      </c>
      <c r="P125" s="480">
        <f>IF(B125&lt;&gt;"Actif",0,H125*J125)</f>
        <v/>
      </c>
      <c r="Q125" s="480">
        <f>IF(B125&lt;&gt;"Actif",0,H125*I125)</f>
        <v/>
      </c>
      <c r="R125" s="480">
        <f>IF(B125&lt;&gt;"Actif",0,H125*I125*J125)</f>
        <v/>
      </c>
      <c r="S125" s="479" t="n"/>
    </row>
    <row r="126">
      <c r="A126" s="479">
        <f>IF(C126="","",ROW()-4)</f>
        <v/>
      </c>
      <c r="B126" s="479" t="n"/>
      <c r="C126" s="479" t="n"/>
      <c r="D126" s="479" t="n"/>
      <c r="E126" s="479" t="n"/>
      <c r="F126" s="479" t="n"/>
      <c r="G126" s="479" t="n"/>
      <c r="H126" s="480" t="n"/>
      <c r="I126" s="554" t="n"/>
      <c r="J126" s="554" t="n"/>
      <c r="K126" s="555" t="n"/>
      <c r="L126" s="555" t="n"/>
      <c r="M126" s="479">
        <f>IF(K126="","",YEAR(K126))</f>
        <v/>
      </c>
      <c r="N126" s="479">
        <f>IF(K126="","",ROUNDUP(MONTH(K126)/3,0))</f>
        <v/>
      </c>
      <c r="O126" s="479">
        <f>IF(K126="","",IF(MONTH(K126)&lt;=6,1,2))</f>
        <v/>
      </c>
      <c r="P126" s="480">
        <f>IF(B126&lt;&gt;"Actif",0,H126*J126)</f>
        <v/>
      </c>
      <c r="Q126" s="480">
        <f>IF(B126&lt;&gt;"Actif",0,H126*I126)</f>
        <v/>
      </c>
      <c r="R126" s="480">
        <f>IF(B126&lt;&gt;"Actif",0,H126*I126*J126)</f>
        <v/>
      </c>
      <c r="S126" s="479" t="n"/>
    </row>
    <row r="127">
      <c r="A127" s="479">
        <f>IF(C127="","",ROW()-4)</f>
        <v/>
      </c>
      <c r="B127" s="479" t="n"/>
      <c r="C127" s="479" t="n"/>
      <c r="D127" s="479" t="n"/>
      <c r="E127" s="479" t="n"/>
      <c r="F127" s="479" t="n"/>
      <c r="G127" s="479" t="n"/>
      <c r="H127" s="480" t="n"/>
      <c r="I127" s="554" t="n"/>
      <c r="J127" s="554" t="n"/>
      <c r="K127" s="555" t="n"/>
      <c r="L127" s="555" t="n"/>
      <c r="M127" s="479">
        <f>IF(K127="","",YEAR(K127))</f>
        <v/>
      </c>
      <c r="N127" s="479">
        <f>IF(K127="","",ROUNDUP(MONTH(K127)/3,0))</f>
        <v/>
      </c>
      <c r="O127" s="479">
        <f>IF(K127="","",IF(MONTH(K127)&lt;=6,1,2))</f>
        <v/>
      </c>
      <c r="P127" s="480">
        <f>IF(B127&lt;&gt;"Actif",0,H127*J127)</f>
        <v/>
      </c>
      <c r="Q127" s="480">
        <f>IF(B127&lt;&gt;"Actif",0,H127*I127)</f>
        <v/>
      </c>
      <c r="R127" s="480">
        <f>IF(B127&lt;&gt;"Actif",0,H127*I127*J127)</f>
        <v/>
      </c>
      <c r="S127" s="479" t="n"/>
    </row>
    <row r="128">
      <c r="A128" s="479">
        <f>IF(C128="","",ROW()-4)</f>
        <v/>
      </c>
      <c r="B128" s="479" t="n"/>
      <c r="C128" s="479" t="n"/>
      <c r="D128" s="479" t="n"/>
      <c r="E128" s="479" t="n"/>
      <c r="F128" s="479" t="n"/>
      <c r="G128" s="479" t="n"/>
      <c r="H128" s="480" t="n"/>
      <c r="I128" s="554" t="n"/>
      <c r="J128" s="554" t="n"/>
      <c r="K128" s="555" t="n"/>
      <c r="L128" s="555" t="n"/>
      <c r="M128" s="479">
        <f>IF(K128="","",YEAR(K128))</f>
        <v/>
      </c>
      <c r="N128" s="479">
        <f>IF(K128="","",ROUNDUP(MONTH(K128)/3,0))</f>
        <v/>
      </c>
      <c r="O128" s="479">
        <f>IF(K128="","",IF(MONTH(K128)&lt;=6,1,2))</f>
        <v/>
      </c>
      <c r="P128" s="480">
        <f>IF(B128&lt;&gt;"Actif",0,H128*J128)</f>
        <v/>
      </c>
      <c r="Q128" s="480">
        <f>IF(B128&lt;&gt;"Actif",0,H128*I128)</f>
        <v/>
      </c>
      <c r="R128" s="480">
        <f>IF(B128&lt;&gt;"Actif",0,H128*I128*J128)</f>
        <v/>
      </c>
      <c r="S128" s="479" t="n"/>
    </row>
    <row r="129">
      <c r="A129" s="479">
        <f>IF(C129="","",ROW()-4)</f>
        <v/>
      </c>
      <c r="B129" s="479" t="n"/>
      <c r="C129" s="479" t="n"/>
      <c r="D129" s="479" t="n"/>
      <c r="E129" s="479" t="n"/>
      <c r="F129" s="479" t="n"/>
      <c r="G129" s="479" t="n"/>
      <c r="H129" s="480" t="n"/>
      <c r="I129" s="554" t="n"/>
      <c r="J129" s="554" t="n"/>
      <c r="K129" s="555" t="n"/>
      <c r="L129" s="555" t="n"/>
      <c r="M129" s="479">
        <f>IF(K129="","",YEAR(K129))</f>
        <v/>
      </c>
      <c r="N129" s="479">
        <f>IF(K129="","",ROUNDUP(MONTH(K129)/3,0))</f>
        <v/>
      </c>
      <c r="O129" s="479">
        <f>IF(K129="","",IF(MONTH(K129)&lt;=6,1,2))</f>
        <v/>
      </c>
      <c r="P129" s="480">
        <f>IF(B129&lt;&gt;"Actif",0,H129*J129)</f>
        <v/>
      </c>
      <c r="Q129" s="480">
        <f>IF(B129&lt;&gt;"Actif",0,H129*I129)</f>
        <v/>
      </c>
      <c r="R129" s="480">
        <f>IF(B129&lt;&gt;"Actif",0,H129*I129*J129)</f>
        <v/>
      </c>
      <c r="S129" s="479" t="n"/>
    </row>
    <row r="130">
      <c r="A130" s="479">
        <f>IF(C130="","",ROW()-4)</f>
        <v/>
      </c>
      <c r="B130" s="479" t="n"/>
      <c r="C130" s="479" t="n"/>
      <c r="D130" s="479" t="n"/>
      <c r="E130" s="479" t="n"/>
      <c r="F130" s="479" t="n"/>
      <c r="G130" s="479" t="n"/>
      <c r="H130" s="480" t="n"/>
      <c r="I130" s="554" t="n"/>
      <c r="J130" s="554" t="n"/>
      <c r="K130" s="555" t="n"/>
      <c r="L130" s="555" t="n"/>
      <c r="M130" s="479">
        <f>IF(K130="","",YEAR(K130))</f>
        <v/>
      </c>
      <c r="N130" s="479">
        <f>IF(K130="","",ROUNDUP(MONTH(K130)/3,0))</f>
        <v/>
      </c>
      <c r="O130" s="479">
        <f>IF(K130="","",IF(MONTH(K130)&lt;=6,1,2))</f>
        <v/>
      </c>
      <c r="P130" s="480">
        <f>IF(B130&lt;&gt;"Actif",0,H130*J130)</f>
        <v/>
      </c>
      <c r="Q130" s="480">
        <f>IF(B130&lt;&gt;"Actif",0,H130*I130)</f>
        <v/>
      </c>
      <c r="R130" s="480">
        <f>IF(B130&lt;&gt;"Actif",0,H130*I130*J130)</f>
        <v/>
      </c>
      <c r="S130" s="479" t="n"/>
    </row>
    <row r="131">
      <c r="A131" s="479">
        <f>IF(C131="","",ROW()-4)</f>
        <v/>
      </c>
      <c r="B131" s="479" t="n"/>
      <c r="C131" s="479" t="n"/>
      <c r="D131" s="479" t="n"/>
      <c r="E131" s="479" t="n"/>
      <c r="F131" s="479" t="n"/>
      <c r="G131" s="479" t="n"/>
      <c r="H131" s="480" t="n"/>
      <c r="I131" s="554" t="n"/>
      <c r="J131" s="554" t="n"/>
      <c r="K131" s="555" t="n"/>
      <c r="L131" s="555" t="n"/>
      <c r="M131" s="479">
        <f>IF(K131="","",YEAR(K131))</f>
        <v/>
      </c>
      <c r="N131" s="479">
        <f>IF(K131="","",ROUNDUP(MONTH(K131)/3,0))</f>
        <v/>
      </c>
      <c r="O131" s="479">
        <f>IF(K131="","",IF(MONTH(K131)&lt;=6,1,2))</f>
        <v/>
      </c>
      <c r="P131" s="480">
        <f>IF(B131&lt;&gt;"Actif",0,H131*J131)</f>
        <v/>
      </c>
      <c r="Q131" s="480">
        <f>IF(B131&lt;&gt;"Actif",0,H131*I131)</f>
        <v/>
      </c>
      <c r="R131" s="480">
        <f>IF(B131&lt;&gt;"Actif",0,H131*I131*J131)</f>
        <v/>
      </c>
      <c r="S131" s="479" t="n"/>
    </row>
    <row r="132">
      <c r="A132" s="479">
        <f>IF(C132="","",ROW()-4)</f>
        <v/>
      </c>
      <c r="B132" s="479" t="n"/>
      <c r="C132" s="479" t="n"/>
      <c r="D132" s="479" t="n"/>
      <c r="E132" s="479" t="n"/>
      <c r="F132" s="479" t="n"/>
      <c r="G132" s="479" t="n"/>
      <c r="H132" s="480" t="n"/>
      <c r="I132" s="554" t="n"/>
      <c r="J132" s="554" t="n"/>
      <c r="K132" s="555" t="n"/>
      <c r="L132" s="555" t="n"/>
      <c r="M132" s="479">
        <f>IF(K132="","",YEAR(K132))</f>
        <v/>
      </c>
      <c r="N132" s="479">
        <f>IF(K132="","",ROUNDUP(MONTH(K132)/3,0))</f>
        <v/>
      </c>
      <c r="O132" s="479">
        <f>IF(K132="","",IF(MONTH(K132)&lt;=6,1,2))</f>
        <v/>
      </c>
      <c r="P132" s="480">
        <f>IF(B132&lt;&gt;"Actif",0,H132*J132)</f>
        <v/>
      </c>
      <c r="Q132" s="480">
        <f>IF(B132&lt;&gt;"Actif",0,H132*I132)</f>
        <v/>
      </c>
      <c r="R132" s="480">
        <f>IF(B132&lt;&gt;"Actif",0,H132*I132*J132)</f>
        <v/>
      </c>
      <c r="S132" s="479" t="n"/>
    </row>
    <row r="133">
      <c r="A133" s="479">
        <f>IF(C133="","",ROW()-4)</f>
        <v/>
      </c>
      <c r="B133" s="479" t="n"/>
      <c r="C133" s="479" t="n"/>
      <c r="D133" s="479" t="n"/>
      <c r="E133" s="479" t="n"/>
      <c r="F133" s="479" t="n"/>
      <c r="G133" s="479" t="n"/>
      <c r="H133" s="480" t="n"/>
      <c r="I133" s="554" t="n"/>
      <c r="J133" s="554" t="n"/>
      <c r="K133" s="555" t="n"/>
      <c r="L133" s="555" t="n"/>
      <c r="M133" s="479">
        <f>IF(K133="","",YEAR(K133))</f>
        <v/>
      </c>
      <c r="N133" s="479">
        <f>IF(K133="","",ROUNDUP(MONTH(K133)/3,0))</f>
        <v/>
      </c>
      <c r="O133" s="479">
        <f>IF(K133="","",IF(MONTH(K133)&lt;=6,1,2))</f>
        <v/>
      </c>
      <c r="P133" s="480">
        <f>IF(B133&lt;&gt;"Actif",0,H133*J133)</f>
        <v/>
      </c>
      <c r="Q133" s="480">
        <f>IF(B133&lt;&gt;"Actif",0,H133*I133)</f>
        <v/>
      </c>
      <c r="R133" s="480">
        <f>IF(B133&lt;&gt;"Actif",0,H133*I133*J133)</f>
        <v/>
      </c>
      <c r="S133" s="479" t="n"/>
    </row>
    <row r="134">
      <c r="A134" s="479">
        <f>IF(C134="","",ROW()-4)</f>
        <v/>
      </c>
      <c r="B134" s="479" t="n"/>
      <c r="C134" s="479" t="n"/>
      <c r="D134" s="479" t="n"/>
      <c r="E134" s="479" t="n"/>
      <c r="F134" s="479" t="n"/>
      <c r="G134" s="479" t="n"/>
      <c r="H134" s="480" t="n"/>
      <c r="I134" s="554" t="n"/>
      <c r="J134" s="554" t="n"/>
      <c r="K134" s="555" t="n"/>
      <c r="L134" s="555" t="n"/>
      <c r="M134" s="479">
        <f>IF(K134="","",YEAR(K134))</f>
        <v/>
      </c>
      <c r="N134" s="479">
        <f>IF(K134="","",ROUNDUP(MONTH(K134)/3,0))</f>
        <v/>
      </c>
      <c r="O134" s="479">
        <f>IF(K134="","",IF(MONTH(K134)&lt;=6,1,2))</f>
        <v/>
      </c>
      <c r="P134" s="480">
        <f>IF(B134&lt;&gt;"Actif",0,H134*J134)</f>
        <v/>
      </c>
      <c r="Q134" s="480">
        <f>IF(B134&lt;&gt;"Actif",0,H134*I134)</f>
        <v/>
      </c>
      <c r="R134" s="480">
        <f>IF(B134&lt;&gt;"Actif",0,H134*I134*J134)</f>
        <v/>
      </c>
      <c r="S134" s="479" t="n"/>
    </row>
    <row r="135">
      <c r="A135" s="479">
        <f>IF(C135="","",ROW()-4)</f>
        <v/>
      </c>
      <c r="B135" s="479" t="n"/>
      <c r="C135" s="479" t="n"/>
      <c r="D135" s="479" t="n"/>
      <c r="E135" s="479" t="n"/>
      <c r="F135" s="479" t="n"/>
      <c r="G135" s="479" t="n"/>
      <c r="H135" s="480" t="n"/>
      <c r="I135" s="554" t="n"/>
      <c r="J135" s="554" t="n"/>
      <c r="K135" s="555" t="n"/>
      <c r="L135" s="555" t="n"/>
      <c r="M135" s="479">
        <f>IF(K135="","",YEAR(K135))</f>
        <v/>
      </c>
      <c r="N135" s="479">
        <f>IF(K135="","",ROUNDUP(MONTH(K135)/3,0))</f>
        <v/>
      </c>
      <c r="O135" s="479">
        <f>IF(K135="","",IF(MONTH(K135)&lt;=6,1,2))</f>
        <v/>
      </c>
      <c r="P135" s="480">
        <f>IF(B135&lt;&gt;"Actif",0,H135*J135)</f>
        <v/>
      </c>
      <c r="Q135" s="480">
        <f>IF(B135&lt;&gt;"Actif",0,H135*I135)</f>
        <v/>
      </c>
      <c r="R135" s="480">
        <f>IF(B135&lt;&gt;"Actif",0,H135*I135*J135)</f>
        <v/>
      </c>
      <c r="S135" s="479" t="n"/>
    </row>
    <row r="136">
      <c r="A136" s="479">
        <f>IF(C136="","",ROW()-4)</f>
        <v/>
      </c>
      <c r="B136" s="479" t="n"/>
      <c r="C136" s="479" t="n"/>
      <c r="D136" s="479" t="n"/>
      <c r="E136" s="479" t="n"/>
      <c r="F136" s="479" t="n"/>
      <c r="G136" s="479" t="n"/>
      <c r="H136" s="480" t="n"/>
      <c r="I136" s="554" t="n"/>
      <c r="J136" s="554" t="n"/>
      <c r="K136" s="555" t="n"/>
      <c r="L136" s="555" t="n"/>
      <c r="M136" s="479">
        <f>IF(K136="","",YEAR(K136))</f>
        <v/>
      </c>
      <c r="N136" s="479">
        <f>IF(K136="","",ROUNDUP(MONTH(K136)/3,0))</f>
        <v/>
      </c>
      <c r="O136" s="479">
        <f>IF(K136="","",IF(MONTH(K136)&lt;=6,1,2))</f>
        <v/>
      </c>
      <c r="P136" s="480">
        <f>IF(B136&lt;&gt;"Actif",0,H136*J136)</f>
        <v/>
      </c>
      <c r="Q136" s="480">
        <f>IF(B136&lt;&gt;"Actif",0,H136*I136)</f>
        <v/>
      </c>
      <c r="R136" s="480">
        <f>IF(B136&lt;&gt;"Actif",0,H136*I136*J136)</f>
        <v/>
      </c>
      <c r="S136" s="479" t="n"/>
    </row>
    <row r="137">
      <c r="A137" s="479">
        <f>IF(C137="","",ROW()-4)</f>
        <v/>
      </c>
      <c r="B137" s="479" t="n"/>
      <c r="C137" s="479" t="n"/>
      <c r="D137" s="479" t="n"/>
      <c r="E137" s="479" t="n"/>
      <c r="F137" s="479" t="n"/>
      <c r="G137" s="479" t="n"/>
      <c r="H137" s="480" t="n"/>
      <c r="I137" s="554" t="n"/>
      <c r="J137" s="554" t="n"/>
      <c r="K137" s="555" t="n"/>
      <c r="L137" s="555" t="n"/>
      <c r="M137" s="479">
        <f>IF(K137="","",YEAR(K137))</f>
        <v/>
      </c>
      <c r="N137" s="479">
        <f>IF(K137="","",ROUNDUP(MONTH(K137)/3,0))</f>
        <v/>
      </c>
      <c r="O137" s="479">
        <f>IF(K137="","",IF(MONTH(K137)&lt;=6,1,2))</f>
        <v/>
      </c>
      <c r="P137" s="480">
        <f>IF(B137&lt;&gt;"Actif",0,H137*J137)</f>
        <v/>
      </c>
      <c r="Q137" s="480">
        <f>IF(B137&lt;&gt;"Actif",0,H137*I137)</f>
        <v/>
      </c>
      <c r="R137" s="480">
        <f>IF(B137&lt;&gt;"Actif",0,H137*I137*J137)</f>
        <v/>
      </c>
      <c r="S137" s="479" t="n"/>
    </row>
    <row r="138">
      <c r="A138" s="479">
        <f>IF(C138="","",ROW()-4)</f>
        <v/>
      </c>
      <c r="B138" s="479" t="n"/>
      <c r="C138" s="479" t="n"/>
      <c r="D138" s="479" t="n"/>
      <c r="E138" s="479" t="n"/>
      <c r="F138" s="479" t="n"/>
      <c r="G138" s="479" t="n"/>
      <c r="H138" s="480" t="n"/>
      <c r="I138" s="554" t="n"/>
      <c r="J138" s="554" t="n"/>
      <c r="K138" s="555" t="n"/>
      <c r="L138" s="555" t="n"/>
      <c r="M138" s="479">
        <f>IF(K138="","",YEAR(K138))</f>
        <v/>
      </c>
      <c r="N138" s="479">
        <f>IF(K138="","",ROUNDUP(MONTH(K138)/3,0))</f>
        <v/>
      </c>
      <c r="O138" s="479">
        <f>IF(K138="","",IF(MONTH(K138)&lt;=6,1,2))</f>
        <v/>
      </c>
      <c r="P138" s="480">
        <f>IF(B138&lt;&gt;"Actif",0,H138*J138)</f>
        <v/>
      </c>
      <c r="Q138" s="480">
        <f>IF(B138&lt;&gt;"Actif",0,H138*I138)</f>
        <v/>
      </c>
      <c r="R138" s="480">
        <f>IF(B138&lt;&gt;"Actif",0,H138*I138*J138)</f>
        <v/>
      </c>
      <c r="S138" s="479" t="n"/>
    </row>
    <row r="139">
      <c r="A139" s="479">
        <f>IF(C139="","",ROW()-4)</f>
        <v/>
      </c>
      <c r="B139" s="479" t="n"/>
      <c r="C139" s="479" t="n"/>
      <c r="D139" s="479" t="n"/>
      <c r="E139" s="479" t="n"/>
      <c r="F139" s="479" t="n"/>
      <c r="G139" s="479" t="n"/>
      <c r="H139" s="480" t="n"/>
      <c r="I139" s="554" t="n"/>
      <c r="J139" s="554" t="n"/>
      <c r="K139" s="555" t="n"/>
      <c r="L139" s="555" t="n"/>
      <c r="M139" s="479">
        <f>IF(K139="","",YEAR(K139))</f>
        <v/>
      </c>
      <c r="N139" s="479">
        <f>IF(K139="","",ROUNDUP(MONTH(K139)/3,0))</f>
        <v/>
      </c>
      <c r="O139" s="479">
        <f>IF(K139="","",IF(MONTH(K139)&lt;=6,1,2))</f>
        <v/>
      </c>
      <c r="P139" s="480">
        <f>IF(B139&lt;&gt;"Actif",0,H139*J139)</f>
        <v/>
      </c>
      <c r="Q139" s="480">
        <f>IF(B139&lt;&gt;"Actif",0,H139*I139)</f>
        <v/>
      </c>
      <c r="R139" s="480">
        <f>IF(B139&lt;&gt;"Actif",0,H139*I139*J139)</f>
        <v/>
      </c>
      <c r="S139" s="479" t="n"/>
    </row>
    <row r="140">
      <c r="A140" s="479">
        <f>IF(C140="","",ROW()-4)</f>
        <v/>
      </c>
      <c r="B140" s="479" t="n"/>
      <c r="C140" s="479" t="n"/>
      <c r="D140" s="479" t="n"/>
      <c r="E140" s="479" t="n"/>
      <c r="F140" s="479" t="n"/>
      <c r="G140" s="479" t="n"/>
      <c r="H140" s="480" t="n"/>
      <c r="I140" s="554" t="n"/>
      <c r="J140" s="554" t="n"/>
      <c r="K140" s="555" t="n"/>
      <c r="L140" s="555" t="n"/>
      <c r="M140" s="479">
        <f>IF(K140="","",YEAR(K140))</f>
        <v/>
      </c>
      <c r="N140" s="479">
        <f>IF(K140="","",ROUNDUP(MONTH(K140)/3,0))</f>
        <v/>
      </c>
      <c r="O140" s="479">
        <f>IF(K140="","",IF(MONTH(K140)&lt;=6,1,2))</f>
        <v/>
      </c>
      <c r="P140" s="480">
        <f>IF(B140&lt;&gt;"Actif",0,H140*J140)</f>
        <v/>
      </c>
      <c r="Q140" s="480">
        <f>IF(B140&lt;&gt;"Actif",0,H140*I140)</f>
        <v/>
      </c>
      <c r="R140" s="480">
        <f>IF(B140&lt;&gt;"Actif",0,H140*I140*J140)</f>
        <v/>
      </c>
      <c r="S140" s="479" t="n"/>
    </row>
    <row r="141">
      <c r="A141" s="479">
        <f>IF(C141="","",ROW()-4)</f>
        <v/>
      </c>
      <c r="B141" s="479" t="n"/>
      <c r="C141" s="479" t="n"/>
      <c r="D141" s="479" t="n"/>
      <c r="E141" s="479" t="n"/>
      <c r="F141" s="479" t="n"/>
      <c r="G141" s="479" t="n"/>
      <c r="H141" s="480" t="n"/>
      <c r="I141" s="554" t="n"/>
      <c r="J141" s="554" t="n"/>
      <c r="K141" s="555" t="n"/>
      <c r="L141" s="555" t="n"/>
      <c r="M141" s="479">
        <f>IF(K141="","",YEAR(K141))</f>
        <v/>
      </c>
      <c r="N141" s="479">
        <f>IF(K141="","",ROUNDUP(MONTH(K141)/3,0))</f>
        <v/>
      </c>
      <c r="O141" s="479">
        <f>IF(K141="","",IF(MONTH(K141)&lt;=6,1,2))</f>
        <v/>
      </c>
      <c r="P141" s="480">
        <f>IF(B141&lt;&gt;"Actif",0,H141*J141)</f>
        <v/>
      </c>
      <c r="Q141" s="480">
        <f>IF(B141&lt;&gt;"Actif",0,H141*I141)</f>
        <v/>
      </c>
      <c r="R141" s="480">
        <f>IF(B141&lt;&gt;"Actif",0,H141*I141*J141)</f>
        <v/>
      </c>
      <c r="S141" s="479" t="n"/>
    </row>
    <row r="142">
      <c r="A142" s="479">
        <f>IF(C142="","",ROW()-4)</f>
        <v/>
      </c>
      <c r="B142" s="479" t="n"/>
      <c r="C142" s="479" t="n"/>
      <c r="D142" s="479" t="n"/>
      <c r="E142" s="479" t="n"/>
      <c r="F142" s="479" t="n"/>
      <c r="G142" s="479" t="n"/>
      <c r="H142" s="480" t="n"/>
      <c r="I142" s="554" t="n"/>
      <c r="J142" s="554" t="n"/>
      <c r="K142" s="555" t="n"/>
      <c r="L142" s="555" t="n"/>
      <c r="M142" s="479">
        <f>IF(K142="","",YEAR(K142))</f>
        <v/>
      </c>
      <c r="N142" s="479">
        <f>IF(K142="","",ROUNDUP(MONTH(K142)/3,0))</f>
        <v/>
      </c>
      <c r="O142" s="479">
        <f>IF(K142="","",IF(MONTH(K142)&lt;=6,1,2))</f>
        <v/>
      </c>
      <c r="P142" s="480">
        <f>IF(B142&lt;&gt;"Actif",0,H142*J142)</f>
        <v/>
      </c>
      <c r="Q142" s="480">
        <f>IF(B142&lt;&gt;"Actif",0,H142*I142)</f>
        <v/>
      </c>
      <c r="R142" s="480">
        <f>IF(B142&lt;&gt;"Actif",0,H142*I142*J142)</f>
        <v/>
      </c>
      <c r="S142" s="479" t="n"/>
    </row>
    <row r="143">
      <c r="A143" s="479">
        <f>IF(C143="","",ROW()-4)</f>
        <v/>
      </c>
      <c r="B143" s="479" t="n"/>
      <c r="C143" s="479" t="n"/>
      <c r="D143" s="479" t="n"/>
      <c r="E143" s="479" t="n"/>
      <c r="F143" s="479" t="n"/>
      <c r="G143" s="479" t="n"/>
      <c r="H143" s="480" t="n"/>
      <c r="I143" s="554" t="n"/>
      <c r="J143" s="554" t="n"/>
      <c r="K143" s="555" t="n"/>
      <c r="L143" s="555" t="n"/>
      <c r="M143" s="479">
        <f>IF(K143="","",YEAR(K143))</f>
        <v/>
      </c>
      <c r="N143" s="479">
        <f>IF(K143="","",ROUNDUP(MONTH(K143)/3,0))</f>
        <v/>
      </c>
      <c r="O143" s="479">
        <f>IF(K143="","",IF(MONTH(K143)&lt;=6,1,2))</f>
        <v/>
      </c>
      <c r="P143" s="480">
        <f>IF(B143&lt;&gt;"Actif",0,H143*J143)</f>
        <v/>
      </c>
      <c r="Q143" s="480">
        <f>IF(B143&lt;&gt;"Actif",0,H143*I143)</f>
        <v/>
      </c>
      <c r="R143" s="480">
        <f>IF(B143&lt;&gt;"Actif",0,H143*I143*J143)</f>
        <v/>
      </c>
      <c r="S143" s="479" t="n"/>
    </row>
    <row r="144">
      <c r="A144" s="479">
        <f>IF(C144="","",ROW()-4)</f>
        <v/>
      </c>
      <c r="B144" s="479" t="n"/>
      <c r="C144" s="479" t="n"/>
      <c r="D144" s="479" t="n"/>
      <c r="E144" s="479" t="n"/>
      <c r="F144" s="479" t="n"/>
      <c r="G144" s="479" t="n"/>
      <c r="H144" s="480" t="n"/>
      <c r="I144" s="554" t="n"/>
      <c r="J144" s="554" t="n"/>
      <c r="K144" s="555" t="n"/>
      <c r="L144" s="555" t="n"/>
      <c r="M144" s="479">
        <f>IF(K144="","",YEAR(K144))</f>
        <v/>
      </c>
      <c r="N144" s="479">
        <f>IF(K144="","",ROUNDUP(MONTH(K144)/3,0))</f>
        <v/>
      </c>
      <c r="O144" s="479">
        <f>IF(K144="","",IF(MONTH(K144)&lt;=6,1,2))</f>
        <v/>
      </c>
      <c r="P144" s="480">
        <f>IF(B144&lt;&gt;"Actif",0,H144*J144)</f>
        <v/>
      </c>
      <c r="Q144" s="480">
        <f>IF(B144&lt;&gt;"Actif",0,H144*I144)</f>
        <v/>
      </c>
      <c r="R144" s="480">
        <f>IF(B144&lt;&gt;"Actif",0,H144*I144*J144)</f>
        <v/>
      </c>
      <c r="S144" s="479" t="n"/>
    </row>
    <row r="145">
      <c r="A145" s="479">
        <f>IF(C145="","",ROW()-4)</f>
        <v/>
      </c>
      <c r="B145" s="479" t="n"/>
      <c r="C145" s="479" t="n"/>
      <c r="D145" s="479" t="n"/>
      <c r="E145" s="479" t="n"/>
      <c r="F145" s="479" t="n"/>
      <c r="G145" s="479" t="n"/>
      <c r="H145" s="480" t="n"/>
      <c r="I145" s="554" t="n"/>
      <c r="J145" s="554" t="n"/>
      <c r="K145" s="555" t="n"/>
      <c r="L145" s="555" t="n"/>
      <c r="M145" s="479">
        <f>IF(K145="","",YEAR(K145))</f>
        <v/>
      </c>
      <c r="N145" s="479">
        <f>IF(K145="","",ROUNDUP(MONTH(K145)/3,0))</f>
        <v/>
      </c>
      <c r="O145" s="479">
        <f>IF(K145="","",IF(MONTH(K145)&lt;=6,1,2))</f>
        <v/>
      </c>
      <c r="P145" s="480">
        <f>IF(B145&lt;&gt;"Actif",0,H145*J145)</f>
        <v/>
      </c>
      <c r="Q145" s="480">
        <f>IF(B145&lt;&gt;"Actif",0,H145*I145)</f>
        <v/>
      </c>
      <c r="R145" s="480">
        <f>IF(B145&lt;&gt;"Actif",0,H145*I145*J145)</f>
        <v/>
      </c>
      <c r="S145" s="479" t="n"/>
    </row>
    <row r="146">
      <c r="A146" s="479">
        <f>IF(C146="","",ROW()-4)</f>
        <v/>
      </c>
      <c r="B146" s="479" t="n"/>
      <c r="C146" s="479" t="n"/>
      <c r="D146" s="479" t="n"/>
      <c r="E146" s="479" t="n"/>
      <c r="F146" s="479" t="n"/>
      <c r="G146" s="479" t="n"/>
      <c r="H146" s="480" t="n"/>
      <c r="I146" s="554" t="n"/>
      <c r="J146" s="554" t="n"/>
      <c r="K146" s="555" t="n"/>
      <c r="L146" s="555" t="n"/>
      <c r="M146" s="479">
        <f>IF(K146="","",YEAR(K146))</f>
        <v/>
      </c>
      <c r="N146" s="479">
        <f>IF(K146="","",ROUNDUP(MONTH(K146)/3,0))</f>
        <v/>
      </c>
      <c r="O146" s="479">
        <f>IF(K146="","",IF(MONTH(K146)&lt;=6,1,2))</f>
        <v/>
      </c>
      <c r="P146" s="480">
        <f>IF(B146&lt;&gt;"Actif",0,H146*J146)</f>
        <v/>
      </c>
      <c r="Q146" s="480">
        <f>IF(B146&lt;&gt;"Actif",0,H146*I146)</f>
        <v/>
      </c>
      <c r="R146" s="480">
        <f>IF(B146&lt;&gt;"Actif",0,H146*I146*J146)</f>
        <v/>
      </c>
      <c r="S146" s="479" t="n"/>
    </row>
    <row r="147">
      <c r="A147" s="479">
        <f>IF(C147="","",ROW()-4)</f>
        <v/>
      </c>
      <c r="B147" s="479" t="n"/>
      <c r="C147" s="479" t="n"/>
      <c r="D147" s="479" t="n"/>
      <c r="E147" s="479" t="n"/>
      <c r="F147" s="479" t="n"/>
      <c r="G147" s="479" t="n"/>
      <c r="H147" s="480" t="n"/>
      <c r="I147" s="554" t="n"/>
      <c r="J147" s="554" t="n"/>
      <c r="K147" s="555" t="n"/>
      <c r="L147" s="555" t="n"/>
      <c r="M147" s="479">
        <f>IF(K147="","",YEAR(K147))</f>
        <v/>
      </c>
      <c r="N147" s="479">
        <f>IF(K147="","",ROUNDUP(MONTH(K147)/3,0))</f>
        <v/>
      </c>
      <c r="O147" s="479">
        <f>IF(K147="","",IF(MONTH(K147)&lt;=6,1,2))</f>
        <v/>
      </c>
      <c r="P147" s="480">
        <f>IF(B147&lt;&gt;"Actif",0,H147*J147)</f>
        <v/>
      </c>
      <c r="Q147" s="480">
        <f>IF(B147&lt;&gt;"Actif",0,H147*I147)</f>
        <v/>
      </c>
      <c r="R147" s="480">
        <f>IF(B147&lt;&gt;"Actif",0,H147*I147*J147)</f>
        <v/>
      </c>
      <c r="S147" s="479" t="n"/>
    </row>
    <row r="148">
      <c r="A148" s="479">
        <f>IF(C148="","",ROW()-4)</f>
        <v/>
      </c>
      <c r="B148" s="479" t="n"/>
      <c r="C148" s="479" t="n"/>
      <c r="D148" s="479" t="n"/>
      <c r="E148" s="479" t="n"/>
      <c r="F148" s="479" t="n"/>
      <c r="G148" s="479" t="n"/>
      <c r="H148" s="480" t="n"/>
      <c r="I148" s="554" t="n"/>
      <c r="J148" s="554" t="n"/>
      <c r="K148" s="555" t="n"/>
      <c r="L148" s="555" t="n"/>
      <c r="M148" s="479">
        <f>IF(K148="","",YEAR(K148))</f>
        <v/>
      </c>
      <c r="N148" s="479">
        <f>IF(K148="","",ROUNDUP(MONTH(K148)/3,0))</f>
        <v/>
      </c>
      <c r="O148" s="479">
        <f>IF(K148="","",IF(MONTH(K148)&lt;=6,1,2))</f>
        <v/>
      </c>
      <c r="P148" s="480">
        <f>IF(B148&lt;&gt;"Actif",0,H148*J148)</f>
        <v/>
      </c>
      <c r="Q148" s="480">
        <f>IF(B148&lt;&gt;"Actif",0,H148*I148)</f>
        <v/>
      </c>
      <c r="R148" s="480">
        <f>IF(B148&lt;&gt;"Actif",0,H148*I148*J148)</f>
        <v/>
      </c>
      <c r="S148" s="479" t="n"/>
    </row>
    <row r="149">
      <c r="A149" s="479">
        <f>IF(C149="","",ROW()-4)</f>
        <v/>
      </c>
      <c r="B149" s="479" t="n"/>
      <c r="C149" s="479" t="n"/>
      <c r="D149" s="479" t="n"/>
      <c r="E149" s="479" t="n"/>
      <c r="F149" s="479" t="n"/>
      <c r="G149" s="479" t="n"/>
      <c r="H149" s="480" t="n"/>
      <c r="I149" s="554" t="n"/>
      <c r="J149" s="554" t="n"/>
      <c r="K149" s="555" t="n"/>
      <c r="L149" s="555" t="n"/>
      <c r="M149" s="479">
        <f>IF(K149="","",YEAR(K149))</f>
        <v/>
      </c>
      <c r="N149" s="479">
        <f>IF(K149="","",ROUNDUP(MONTH(K149)/3,0))</f>
        <v/>
      </c>
      <c r="O149" s="479">
        <f>IF(K149="","",IF(MONTH(K149)&lt;=6,1,2))</f>
        <v/>
      </c>
      <c r="P149" s="480">
        <f>IF(B149&lt;&gt;"Actif",0,H149*J149)</f>
        <v/>
      </c>
      <c r="Q149" s="480">
        <f>IF(B149&lt;&gt;"Actif",0,H149*I149)</f>
        <v/>
      </c>
      <c r="R149" s="480">
        <f>IF(B149&lt;&gt;"Actif",0,H149*I149*J149)</f>
        <v/>
      </c>
      <c r="S149" s="479" t="n"/>
    </row>
    <row r="150">
      <c r="A150" s="479">
        <f>IF(C150="","",ROW()-4)</f>
        <v/>
      </c>
      <c r="B150" s="479" t="n"/>
      <c r="C150" s="479" t="n"/>
      <c r="D150" s="479" t="n"/>
      <c r="E150" s="479" t="n"/>
      <c r="F150" s="479" t="n"/>
      <c r="G150" s="479" t="n"/>
      <c r="H150" s="480" t="n"/>
      <c r="I150" s="554" t="n"/>
      <c r="J150" s="554" t="n"/>
      <c r="K150" s="555" t="n"/>
      <c r="L150" s="555" t="n"/>
      <c r="M150" s="479">
        <f>IF(K150="","",YEAR(K150))</f>
        <v/>
      </c>
      <c r="N150" s="479">
        <f>IF(K150="","",ROUNDUP(MONTH(K150)/3,0))</f>
        <v/>
      </c>
      <c r="O150" s="479">
        <f>IF(K150="","",IF(MONTH(K150)&lt;=6,1,2))</f>
        <v/>
      </c>
      <c r="P150" s="480">
        <f>IF(B150&lt;&gt;"Actif",0,H150*J150)</f>
        <v/>
      </c>
      <c r="Q150" s="480">
        <f>IF(B150&lt;&gt;"Actif",0,H150*I150)</f>
        <v/>
      </c>
      <c r="R150" s="480">
        <f>IF(B150&lt;&gt;"Actif",0,H150*I150*J150)</f>
        <v/>
      </c>
      <c r="S150" s="479" t="n"/>
    </row>
    <row r="151">
      <c r="A151" s="479">
        <f>IF(C151="","",ROW()-4)</f>
        <v/>
      </c>
      <c r="B151" s="479" t="n"/>
      <c r="C151" s="479" t="n"/>
      <c r="D151" s="479" t="n"/>
      <c r="E151" s="479" t="n"/>
      <c r="F151" s="479" t="n"/>
      <c r="G151" s="479" t="n"/>
      <c r="H151" s="480" t="n"/>
      <c r="I151" s="554" t="n"/>
      <c r="J151" s="554" t="n"/>
      <c r="K151" s="555" t="n"/>
      <c r="L151" s="555" t="n"/>
      <c r="M151" s="479">
        <f>IF(K151="","",YEAR(K151))</f>
        <v/>
      </c>
      <c r="N151" s="479">
        <f>IF(K151="","",ROUNDUP(MONTH(K151)/3,0))</f>
        <v/>
      </c>
      <c r="O151" s="479">
        <f>IF(K151="","",IF(MONTH(K151)&lt;=6,1,2))</f>
        <v/>
      </c>
      <c r="P151" s="480">
        <f>IF(B151&lt;&gt;"Actif",0,H151*J151)</f>
        <v/>
      </c>
      <c r="Q151" s="480">
        <f>IF(B151&lt;&gt;"Actif",0,H151*I151)</f>
        <v/>
      </c>
      <c r="R151" s="480">
        <f>IF(B151&lt;&gt;"Actif",0,H151*I151*J151)</f>
        <v/>
      </c>
      <c r="S151" s="479" t="n"/>
    </row>
    <row r="152">
      <c r="A152" s="479">
        <f>IF(C152="","",ROW()-4)</f>
        <v/>
      </c>
      <c r="B152" s="479" t="n"/>
      <c r="C152" s="479" t="n"/>
      <c r="D152" s="479" t="n"/>
      <c r="E152" s="479" t="n"/>
      <c r="F152" s="479" t="n"/>
      <c r="G152" s="479" t="n"/>
      <c r="H152" s="480" t="n"/>
      <c r="I152" s="554" t="n"/>
      <c r="J152" s="554" t="n"/>
      <c r="K152" s="555" t="n"/>
      <c r="L152" s="555" t="n"/>
      <c r="M152" s="479">
        <f>IF(K152="","",YEAR(K152))</f>
        <v/>
      </c>
      <c r="N152" s="479">
        <f>IF(K152="","",ROUNDUP(MONTH(K152)/3,0))</f>
        <v/>
      </c>
      <c r="O152" s="479">
        <f>IF(K152="","",IF(MONTH(K152)&lt;=6,1,2))</f>
        <v/>
      </c>
      <c r="P152" s="480">
        <f>IF(B152&lt;&gt;"Actif",0,H152*J152)</f>
        <v/>
      </c>
      <c r="Q152" s="480">
        <f>IF(B152&lt;&gt;"Actif",0,H152*I152)</f>
        <v/>
      </c>
      <c r="R152" s="480">
        <f>IF(B152&lt;&gt;"Actif",0,H152*I152*J152)</f>
        <v/>
      </c>
      <c r="S152" s="479" t="n"/>
    </row>
    <row r="153">
      <c r="A153" s="479">
        <f>IF(C153="","",ROW()-4)</f>
        <v/>
      </c>
      <c r="B153" s="479" t="n"/>
      <c r="C153" s="479" t="n"/>
      <c r="D153" s="479" t="n"/>
      <c r="E153" s="479" t="n"/>
      <c r="F153" s="479" t="n"/>
      <c r="G153" s="479" t="n"/>
      <c r="H153" s="480" t="n"/>
      <c r="I153" s="554" t="n"/>
      <c r="J153" s="554" t="n"/>
      <c r="K153" s="555" t="n"/>
      <c r="L153" s="555" t="n"/>
      <c r="M153" s="479">
        <f>IF(K153="","",YEAR(K153))</f>
        <v/>
      </c>
      <c r="N153" s="479">
        <f>IF(K153="","",ROUNDUP(MONTH(K153)/3,0))</f>
        <v/>
      </c>
      <c r="O153" s="479">
        <f>IF(K153="","",IF(MONTH(K153)&lt;=6,1,2))</f>
        <v/>
      </c>
      <c r="P153" s="480">
        <f>IF(B153&lt;&gt;"Actif",0,H153*J153)</f>
        <v/>
      </c>
      <c r="Q153" s="480">
        <f>IF(B153&lt;&gt;"Actif",0,H153*I153)</f>
        <v/>
      </c>
      <c r="R153" s="480">
        <f>IF(B153&lt;&gt;"Actif",0,H153*I153*J153)</f>
        <v/>
      </c>
      <c r="S153" s="479" t="n"/>
    </row>
    <row r="154">
      <c r="A154" s="479">
        <f>IF(C154="","",ROW()-4)</f>
        <v/>
      </c>
      <c r="B154" s="479" t="n"/>
      <c r="C154" s="479" t="n"/>
      <c r="D154" s="479" t="n"/>
      <c r="E154" s="479" t="n"/>
      <c r="F154" s="479" t="n"/>
      <c r="G154" s="479" t="n"/>
      <c r="H154" s="480" t="n"/>
      <c r="I154" s="554" t="n"/>
      <c r="J154" s="554" t="n"/>
      <c r="K154" s="555" t="n"/>
      <c r="L154" s="555" t="n"/>
      <c r="M154" s="479">
        <f>IF(K154="","",YEAR(K154))</f>
        <v/>
      </c>
      <c r="N154" s="479">
        <f>IF(K154="","",ROUNDUP(MONTH(K154)/3,0))</f>
        <v/>
      </c>
      <c r="O154" s="479">
        <f>IF(K154="","",IF(MONTH(K154)&lt;=6,1,2))</f>
        <v/>
      </c>
      <c r="P154" s="480">
        <f>IF(B154&lt;&gt;"Actif",0,H154*J154)</f>
        <v/>
      </c>
      <c r="Q154" s="480">
        <f>IF(B154&lt;&gt;"Actif",0,H154*I154)</f>
        <v/>
      </c>
      <c r="R154" s="480">
        <f>IF(B154&lt;&gt;"Actif",0,H154*I154*J154)</f>
        <v/>
      </c>
      <c r="S154" s="479" t="n"/>
    </row>
    <row r="155">
      <c r="A155" s="479">
        <f>IF(C155="","",ROW()-4)</f>
        <v/>
      </c>
      <c r="B155" s="479" t="n"/>
      <c r="C155" s="479" t="n"/>
      <c r="D155" s="479" t="n"/>
      <c r="E155" s="479" t="n"/>
      <c r="F155" s="479" t="n"/>
      <c r="G155" s="479" t="n"/>
      <c r="H155" s="480" t="n"/>
      <c r="I155" s="554" t="n"/>
      <c r="J155" s="554" t="n"/>
      <c r="K155" s="555" t="n"/>
      <c r="L155" s="555" t="n"/>
      <c r="M155" s="479">
        <f>IF(K155="","",YEAR(K155))</f>
        <v/>
      </c>
      <c r="N155" s="479">
        <f>IF(K155="","",ROUNDUP(MONTH(K155)/3,0))</f>
        <v/>
      </c>
      <c r="O155" s="479">
        <f>IF(K155="","",IF(MONTH(K155)&lt;=6,1,2))</f>
        <v/>
      </c>
      <c r="P155" s="480">
        <f>IF(B155&lt;&gt;"Actif",0,H155*J155)</f>
        <v/>
      </c>
      <c r="Q155" s="480">
        <f>IF(B155&lt;&gt;"Actif",0,H155*I155)</f>
        <v/>
      </c>
      <c r="R155" s="480">
        <f>IF(B155&lt;&gt;"Actif",0,H155*I155*J155)</f>
        <v/>
      </c>
      <c r="S155" s="479" t="n"/>
    </row>
    <row r="156">
      <c r="A156" s="479">
        <f>IF(C156="","",ROW()-4)</f>
        <v/>
      </c>
      <c r="B156" s="479" t="n"/>
      <c r="C156" s="479" t="n"/>
      <c r="D156" s="479" t="n"/>
      <c r="E156" s="479" t="n"/>
      <c r="F156" s="479" t="n"/>
      <c r="G156" s="479" t="n"/>
      <c r="H156" s="480" t="n"/>
      <c r="I156" s="554" t="n"/>
      <c r="J156" s="554" t="n"/>
      <c r="K156" s="555" t="n"/>
      <c r="L156" s="555" t="n"/>
      <c r="M156" s="479">
        <f>IF(K156="","",YEAR(K156))</f>
        <v/>
      </c>
      <c r="N156" s="479">
        <f>IF(K156="","",ROUNDUP(MONTH(K156)/3,0))</f>
        <v/>
      </c>
      <c r="O156" s="479">
        <f>IF(K156="","",IF(MONTH(K156)&lt;=6,1,2))</f>
        <v/>
      </c>
      <c r="P156" s="480">
        <f>IF(B156&lt;&gt;"Actif",0,H156*J156)</f>
        <v/>
      </c>
      <c r="Q156" s="480">
        <f>IF(B156&lt;&gt;"Actif",0,H156*I156)</f>
        <v/>
      </c>
      <c r="R156" s="480">
        <f>IF(B156&lt;&gt;"Actif",0,H156*I156*J156)</f>
        <v/>
      </c>
      <c r="S156" s="479" t="n"/>
    </row>
    <row r="157">
      <c r="A157" s="479">
        <f>IF(C157="","",ROW()-4)</f>
        <v/>
      </c>
      <c r="B157" s="479" t="n"/>
      <c r="C157" s="479" t="n"/>
      <c r="D157" s="479" t="n"/>
      <c r="E157" s="479" t="n"/>
      <c r="F157" s="479" t="n"/>
      <c r="G157" s="479" t="n"/>
      <c r="H157" s="480" t="n"/>
      <c r="I157" s="554" t="n"/>
      <c r="J157" s="554" t="n"/>
      <c r="K157" s="555" t="n"/>
      <c r="L157" s="555" t="n"/>
      <c r="M157" s="479">
        <f>IF(K157="","",YEAR(K157))</f>
        <v/>
      </c>
      <c r="N157" s="479">
        <f>IF(K157="","",ROUNDUP(MONTH(K157)/3,0))</f>
        <v/>
      </c>
      <c r="O157" s="479">
        <f>IF(K157="","",IF(MONTH(K157)&lt;=6,1,2))</f>
        <v/>
      </c>
      <c r="P157" s="480">
        <f>IF(B157&lt;&gt;"Actif",0,H157*J157)</f>
        <v/>
      </c>
      <c r="Q157" s="480">
        <f>IF(B157&lt;&gt;"Actif",0,H157*I157)</f>
        <v/>
      </c>
      <c r="R157" s="480">
        <f>IF(B157&lt;&gt;"Actif",0,H157*I157*J157)</f>
        <v/>
      </c>
      <c r="S157" s="479" t="n"/>
    </row>
    <row r="158">
      <c r="A158" s="479">
        <f>IF(C158="","",ROW()-4)</f>
        <v/>
      </c>
      <c r="B158" s="479" t="n"/>
      <c r="C158" s="479" t="n"/>
      <c r="D158" s="479" t="n"/>
      <c r="E158" s="479" t="n"/>
      <c r="F158" s="479" t="n"/>
      <c r="G158" s="479" t="n"/>
      <c r="H158" s="480" t="n"/>
      <c r="I158" s="554" t="n"/>
      <c r="J158" s="554" t="n"/>
      <c r="K158" s="555" t="n"/>
      <c r="L158" s="555" t="n"/>
      <c r="M158" s="479">
        <f>IF(K158="","",YEAR(K158))</f>
        <v/>
      </c>
      <c r="N158" s="479">
        <f>IF(K158="","",ROUNDUP(MONTH(K158)/3,0))</f>
        <v/>
      </c>
      <c r="O158" s="479">
        <f>IF(K158="","",IF(MONTH(K158)&lt;=6,1,2))</f>
        <v/>
      </c>
      <c r="P158" s="480">
        <f>IF(B158&lt;&gt;"Actif",0,H158*J158)</f>
        <v/>
      </c>
      <c r="Q158" s="480">
        <f>IF(B158&lt;&gt;"Actif",0,H158*I158)</f>
        <v/>
      </c>
      <c r="R158" s="480">
        <f>IF(B158&lt;&gt;"Actif",0,H158*I158*J158)</f>
        <v/>
      </c>
      <c r="S158" s="479" t="n"/>
    </row>
    <row r="159">
      <c r="A159" s="479">
        <f>IF(C159="","",ROW()-4)</f>
        <v/>
      </c>
      <c r="B159" s="479" t="n"/>
      <c r="C159" s="479" t="n"/>
      <c r="D159" s="479" t="n"/>
      <c r="E159" s="479" t="n"/>
      <c r="F159" s="479" t="n"/>
      <c r="G159" s="479" t="n"/>
      <c r="H159" s="480" t="n"/>
      <c r="I159" s="554" t="n"/>
      <c r="J159" s="554" t="n"/>
      <c r="K159" s="555" t="n"/>
      <c r="L159" s="555" t="n"/>
      <c r="M159" s="479">
        <f>IF(K159="","",YEAR(K159))</f>
        <v/>
      </c>
      <c r="N159" s="479">
        <f>IF(K159="","",ROUNDUP(MONTH(K159)/3,0))</f>
        <v/>
      </c>
      <c r="O159" s="479">
        <f>IF(K159="","",IF(MONTH(K159)&lt;=6,1,2))</f>
        <v/>
      </c>
      <c r="P159" s="480">
        <f>IF(B159&lt;&gt;"Actif",0,H159*J159)</f>
        <v/>
      </c>
      <c r="Q159" s="480">
        <f>IF(B159&lt;&gt;"Actif",0,H159*I159)</f>
        <v/>
      </c>
      <c r="R159" s="480">
        <f>IF(B159&lt;&gt;"Actif",0,H159*I159*J159)</f>
        <v/>
      </c>
      <c r="S159" s="479" t="n"/>
    </row>
    <row r="160">
      <c r="A160" s="479">
        <f>IF(C160="","",ROW()-4)</f>
        <v/>
      </c>
      <c r="B160" s="479" t="n"/>
      <c r="C160" s="479" t="n"/>
      <c r="D160" s="479" t="n"/>
      <c r="E160" s="479" t="n"/>
      <c r="F160" s="479" t="n"/>
      <c r="G160" s="479" t="n"/>
      <c r="H160" s="480" t="n"/>
      <c r="I160" s="554" t="n"/>
      <c r="J160" s="554" t="n"/>
      <c r="K160" s="555" t="n"/>
      <c r="L160" s="555" t="n"/>
      <c r="M160" s="479">
        <f>IF(K160="","",YEAR(K160))</f>
        <v/>
      </c>
      <c r="N160" s="479">
        <f>IF(K160="","",ROUNDUP(MONTH(K160)/3,0))</f>
        <v/>
      </c>
      <c r="O160" s="479">
        <f>IF(K160="","",IF(MONTH(K160)&lt;=6,1,2))</f>
        <v/>
      </c>
      <c r="P160" s="480">
        <f>IF(B160&lt;&gt;"Actif",0,H160*J160)</f>
        <v/>
      </c>
      <c r="Q160" s="480">
        <f>IF(B160&lt;&gt;"Actif",0,H160*I160)</f>
        <v/>
      </c>
      <c r="R160" s="480">
        <f>IF(B160&lt;&gt;"Actif",0,H160*I160*J160)</f>
        <v/>
      </c>
      <c r="S160" s="479" t="n"/>
    </row>
    <row r="161">
      <c r="A161" s="479">
        <f>IF(C161="","",ROW()-4)</f>
        <v/>
      </c>
      <c r="B161" s="479" t="n"/>
      <c r="C161" s="479" t="n"/>
      <c r="D161" s="479" t="n"/>
      <c r="E161" s="479" t="n"/>
      <c r="F161" s="479" t="n"/>
      <c r="G161" s="479" t="n"/>
      <c r="H161" s="480" t="n"/>
      <c r="I161" s="554" t="n"/>
      <c r="J161" s="554" t="n"/>
      <c r="K161" s="555" t="n"/>
      <c r="L161" s="555" t="n"/>
      <c r="M161" s="479">
        <f>IF(K161="","",YEAR(K161))</f>
        <v/>
      </c>
      <c r="N161" s="479">
        <f>IF(K161="","",ROUNDUP(MONTH(K161)/3,0))</f>
        <v/>
      </c>
      <c r="O161" s="479">
        <f>IF(K161="","",IF(MONTH(K161)&lt;=6,1,2))</f>
        <v/>
      </c>
      <c r="P161" s="480">
        <f>IF(B161&lt;&gt;"Actif",0,H161*J161)</f>
        <v/>
      </c>
      <c r="Q161" s="480">
        <f>IF(B161&lt;&gt;"Actif",0,H161*I161)</f>
        <v/>
      </c>
      <c r="R161" s="480">
        <f>IF(B161&lt;&gt;"Actif",0,H161*I161*J161)</f>
        <v/>
      </c>
      <c r="S161" s="479" t="n"/>
    </row>
    <row r="162">
      <c r="A162" s="479">
        <f>IF(C162="","",ROW()-4)</f>
        <v/>
      </c>
      <c r="B162" s="479" t="n"/>
      <c r="C162" s="479" t="n"/>
      <c r="D162" s="479" t="n"/>
      <c r="E162" s="479" t="n"/>
      <c r="F162" s="479" t="n"/>
      <c r="G162" s="479" t="n"/>
      <c r="H162" s="480" t="n"/>
      <c r="I162" s="554" t="n"/>
      <c r="J162" s="554" t="n"/>
      <c r="K162" s="555" t="n"/>
      <c r="L162" s="555" t="n"/>
      <c r="M162" s="479">
        <f>IF(K162="","",YEAR(K162))</f>
        <v/>
      </c>
      <c r="N162" s="479">
        <f>IF(K162="","",ROUNDUP(MONTH(K162)/3,0))</f>
        <v/>
      </c>
      <c r="O162" s="479">
        <f>IF(K162="","",IF(MONTH(K162)&lt;=6,1,2))</f>
        <v/>
      </c>
      <c r="P162" s="480">
        <f>IF(B162&lt;&gt;"Actif",0,H162*J162)</f>
        <v/>
      </c>
      <c r="Q162" s="480">
        <f>IF(B162&lt;&gt;"Actif",0,H162*I162)</f>
        <v/>
      </c>
      <c r="R162" s="480">
        <f>IF(B162&lt;&gt;"Actif",0,H162*I162*J162)</f>
        <v/>
      </c>
      <c r="S162" s="479" t="n"/>
    </row>
    <row r="163">
      <c r="A163" s="479">
        <f>IF(C163="","",ROW()-4)</f>
        <v/>
      </c>
      <c r="B163" s="479" t="n"/>
      <c r="C163" s="479" t="n"/>
      <c r="D163" s="479" t="n"/>
      <c r="E163" s="479" t="n"/>
      <c r="F163" s="479" t="n"/>
      <c r="G163" s="479" t="n"/>
      <c r="H163" s="480" t="n"/>
      <c r="I163" s="554" t="n"/>
      <c r="J163" s="554" t="n"/>
      <c r="K163" s="555" t="n"/>
      <c r="L163" s="555" t="n"/>
      <c r="M163" s="479">
        <f>IF(K163="","",YEAR(K163))</f>
        <v/>
      </c>
      <c r="N163" s="479">
        <f>IF(K163="","",ROUNDUP(MONTH(K163)/3,0))</f>
        <v/>
      </c>
      <c r="O163" s="479">
        <f>IF(K163="","",IF(MONTH(K163)&lt;=6,1,2))</f>
        <v/>
      </c>
      <c r="P163" s="480">
        <f>IF(B163&lt;&gt;"Actif",0,H163*J163)</f>
        <v/>
      </c>
      <c r="Q163" s="480">
        <f>IF(B163&lt;&gt;"Actif",0,H163*I163)</f>
        <v/>
      </c>
      <c r="R163" s="480">
        <f>IF(B163&lt;&gt;"Actif",0,H163*I163*J163)</f>
        <v/>
      </c>
      <c r="S163" s="479" t="n"/>
    </row>
    <row r="164">
      <c r="A164" s="479">
        <f>IF(C164="","",ROW()-4)</f>
        <v/>
      </c>
      <c r="B164" s="479" t="n"/>
      <c r="C164" s="479" t="n"/>
      <c r="D164" s="479" t="n"/>
      <c r="E164" s="479" t="n"/>
      <c r="F164" s="479" t="n"/>
      <c r="G164" s="479" t="n"/>
      <c r="H164" s="480" t="n"/>
      <c r="I164" s="554" t="n"/>
      <c r="J164" s="554" t="n"/>
      <c r="K164" s="555" t="n"/>
      <c r="L164" s="555" t="n"/>
      <c r="M164" s="479">
        <f>IF(K164="","",YEAR(K164))</f>
        <v/>
      </c>
      <c r="N164" s="479">
        <f>IF(K164="","",ROUNDUP(MONTH(K164)/3,0))</f>
        <v/>
      </c>
      <c r="O164" s="479">
        <f>IF(K164="","",IF(MONTH(K164)&lt;=6,1,2))</f>
        <v/>
      </c>
      <c r="P164" s="480">
        <f>IF(B164&lt;&gt;"Actif",0,H164*J164)</f>
        <v/>
      </c>
      <c r="Q164" s="480">
        <f>IF(B164&lt;&gt;"Actif",0,H164*I164)</f>
        <v/>
      </c>
      <c r="R164" s="480">
        <f>IF(B164&lt;&gt;"Actif",0,H164*I164*J164)</f>
        <v/>
      </c>
      <c r="S164" s="479" t="n"/>
    </row>
    <row r="165">
      <c r="A165" s="479">
        <f>IF(C165="","",ROW()-4)</f>
        <v/>
      </c>
      <c r="B165" s="479" t="n"/>
      <c r="C165" s="479" t="n"/>
      <c r="D165" s="479" t="n"/>
      <c r="E165" s="479" t="n"/>
      <c r="F165" s="479" t="n"/>
      <c r="G165" s="479" t="n"/>
      <c r="H165" s="480" t="n"/>
      <c r="I165" s="554" t="n"/>
      <c r="J165" s="554" t="n"/>
      <c r="K165" s="555" t="n"/>
      <c r="L165" s="555" t="n"/>
      <c r="M165" s="479">
        <f>IF(K165="","",YEAR(K165))</f>
        <v/>
      </c>
      <c r="N165" s="479">
        <f>IF(K165="","",ROUNDUP(MONTH(K165)/3,0))</f>
        <v/>
      </c>
      <c r="O165" s="479">
        <f>IF(K165="","",IF(MONTH(K165)&lt;=6,1,2))</f>
        <v/>
      </c>
      <c r="P165" s="480">
        <f>IF(B165&lt;&gt;"Actif",0,H165*J165)</f>
        <v/>
      </c>
      <c r="Q165" s="480">
        <f>IF(B165&lt;&gt;"Actif",0,H165*I165)</f>
        <v/>
      </c>
      <c r="R165" s="480">
        <f>IF(B165&lt;&gt;"Actif",0,H165*I165*J165)</f>
        <v/>
      </c>
      <c r="S165" s="479" t="n"/>
    </row>
    <row r="166">
      <c r="A166" s="479">
        <f>IF(C166="","",ROW()-4)</f>
        <v/>
      </c>
      <c r="B166" s="479" t="n"/>
      <c r="C166" s="479" t="n"/>
      <c r="D166" s="479" t="n"/>
      <c r="E166" s="479" t="n"/>
      <c r="F166" s="479" t="n"/>
      <c r="G166" s="479" t="n"/>
      <c r="H166" s="480" t="n"/>
      <c r="I166" s="554" t="n"/>
      <c r="J166" s="554" t="n"/>
      <c r="K166" s="555" t="n"/>
      <c r="L166" s="555" t="n"/>
      <c r="M166" s="479">
        <f>IF(K166="","",YEAR(K166))</f>
        <v/>
      </c>
      <c r="N166" s="479">
        <f>IF(K166="","",ROUNDUP(MONTH(K166)/3,0))</f>
        <v/>
      </c>
      <c r="O166" s="479">
        <f>IF(K166="","",IF(MONTH(K166)&lt;=6,1,2))</f>
        <v/>
      </c>
      <c r="P166" s="480">
        <f>IF(B166&lt;&gt;"Actif",0,H166*J166)</f>
        <v/>
      </c>
      <c r="Q166" s="480">
        <f>IF(B166&lt;&gt;"Actif",0,H166*I166)</f>
        <v/>
      </c>
      <c r="R166" s="480">
        <f>IF(B166&lt;&gt;"Actif",0,H166*I166*J166)</f>
        <v/>
      </c>
      <c r="S166" s="479" t="n"/>
    </row>
    <row r="167">
      <c r="A167" s="479">
        <f>IF(C167="","",ROW()-4)</f>
        <v/>
      </c>
      <c r="B167" s="479" t="n"/>
      <c r="C167" s="479" t="n"/>
      <c r="D167" s="479" t="n"/>
      <c r="E167" s="479" t="n"/>
      <c r="F167" s="479" t="n"/>
      <c r="G167" s="479" t="n"/>
      <c r="H167" s="480" t="n"/>
      <c r="I167" s="554" t="n"/>
      <c r="J167" s="554" t="n"/>
      <c r="K167" s="555" t="n"/>
      <c r="L167" s="555" t="n"/>
      <c r="M167" s="479">
        <f>IF(K167="","",YEAR(K167))</f>
        <v/>
      </c>
      <c r="N167" s="479">
        <f>IF(K167="","",ROUNDUP(MONTH(K167)/3,0))</f>
        <v/>
      </c>
      <c r="O167" s="479">
        <f>IF(K167="","",IF(MONTH(K167)&lt;=6,1,2))</f>
        <v/>
      </c>
      <c r="P167" s="480">
        <f>IF(B167&lt;&gt;"Actif",0,H167*J167)</f>
        <v/>
      </c>
      <c r="Q167" s="480">
        <f>IF(B167&lt;&gt;"Actif",0,H167*I167)</f>
        <v/>
      </c>
      <c r="R167" s="480">
        <f>IF(B167&lt;&gt;"Actif",0,H167*I167*J167)</f>
        <v/>
      </c>
      <c r="S167" s="479" t="n"/>
    </row>
    <row r="168">
      <c r="A168" s="479">
        <f>IF(C168="","",ROW()-4)</f>
        <v/>
      </c>
      <c r="B168" s="479" t="n"/>
      <c r="C168" s="479" t="n"/>
      <c r="D168" s="479" t="n"/>
      <c r="E168" s="479" t="n"/>
      <c r="F168" s="479" t="n"/>
      <c r="G168" s="479" t="n"/>
      <c r="H168" s="480" t="n"/>
      <c r="I168" s="554" t="n"/>
      <c r="J168" s="554" t="n"/>
      <c r="K168" s="555" t="n"/>
      <c r="L168" s="555" t="n"/>
      <c r="M168" s="479">
        <f>IF(K168="","",YEAR(K168))</f>
        <v/>
      </c>
      <c r="N168" s="479">
        <f>IF(K168="","",ROUNDUP(MONTH(K168)/3,0))</f>
        <v/>
      </c>
      <c r="O168" s="479">
        <f>IF(K168="","",IF(MONTH(K168)&lt;=6,1,2))</f>
        <v/>
      </c>
      <c r="P168" s="480">
        <f>IF(B168&lt;&gt;"Actif",0,H168*J168)</f>
        <v/>
      </c>
      <c r="Q168" s="480">
        <f>IF(B168&lt;&gt;"Actif",0,H168*I168)</f>
        <v/>
      </c>
      <c r="R168" s="480">
        <f>IF(B168&lt;&gt;"Actif",0,H168*I168*J168)</f>
        <v/>
      </c>
      <c r="S168" s="479" t="n"/>
    </row>
    <row r="169">
      <c r="A169" s="479">
        <f>IF(C169="","",ROW()-4)</f>
        <v/>
      </c>
      <c r="B169" s="479" t="n"/>
      <c r="C169" s="479" t="n"/>
      <c r="D169" s="479" t="n"/>
      <c r="E169" s="479" t="n"/>
      <c r="F169" s="479" t="n"/>
      <c r="G169" s="479" t="n"/>
      <c r="H169" s="480" t="n"/>
      <c r="I169" s="554" t="n"/>
      <c r="J169" s="554" t="n"/>
      <c r="K169" s="555" t="n"/>
      <c r="L169" s="555" t="n"/>
      <c r="M169" s="479">
        <f>IF(K169="","",YEAR(K169))</f>
        <v/>
      </c>
      <c r="N169" s="479">
        <f>IF(K169="","",ROUNDUP(MONTH(K169)/3,0))</f>
        <v/>
      </c>
      <c r="O169" s="479">
        <f>IF(K169="","",IF(MONTH(K169)&lt;=6,1,2))</f>
        <v/>
      </c>
      <c r="P169" s="480">
        <f>IF(B169&lt;&gt;"Actif",0,H169*J169)</f>
        <v/>
      </c>
      <c r="Q169" s="480">
        <f>IF(B169&lt;&gt;"Actif",0,H169*I169)</f>
        <v/>
      </c>
      <c r="R169" s="480">
        <f>IF(B169&lt;&gt;"Actif",0,H169*I169*J169)</f>
        <v/>
      </c>
      <c r="S169" s="479" t="n"/>
    </row>
    <row r="170">
      <c r="A170" s="479">
        <f>IF(C170="","",ROW()-4)</f>
        <v/>
      </c>
      <c r="B170" s="479" t="n"/>
      <c r="C170" s="479" t="n"/>
      <c r="D170" s="479" t="n"/>
      <c r="E170" s="479" t="n"/>
      <c r="F170" s="479" t="n"/>
      <c r="G170" s="479" t="n"/>
      <c r="H170" s="480" t="n"/>
      <c r="I170" s="554" t="n"/>
      <c r="J170" s="554" t="n"/>
      <c r="K170" s="555" t="n"/>
      <c r="L170" s="555" t="n"/>
      <c r="M170" s="479">
        <f>IF(K170="","",YEAR(K170))</f>
        <v/>
      </c>
      <c r="N170" s="479">
        <f>IF(K170="","",ROUNDUP(MONTH(K170)/3,0))</f>
        <v/>
      </c>
      <c r="O170" s="479">
        <f>IF(K170="","",IF(MONTH(K170)&lt;=6,1,2))</f>
        <v/>
      </c>
      <c r="P170" s="480">
        <f>IF(B170&lt;&gt;"Actif",0,H170*J170)</f>
        <v/>
      </c>
      <c r="Q170" s="480">
        <f>IF(B170&lt;&gt;"Actif",0,H170*I170)</f>
        <v/>
      </c>
      <c r="R170" s="480">
        <f>IF(B170&lt;&gt;"Actif",0,H170*I170*J170)</f>
        <v/>
      </c>
      <c r="S170" s="479" t="n"/>
    </row>
    <row r="171">
      <c r="A171" s="479">
        <f>IF(C171="","",ROW()-4)</f>
        <v/>
      </c>
      <c r="B171" s="479" t="n"/>
      <c r="C171" s="479" t="n"/>
      <c r="D171" s="479" t="n"/>
      <c r="E171" s="479" t="n"/>
      <c r="F171" s="479" t="n"/>
      <c r="G171" s="479" t="n"/>
      <c r="H171" s="480" t="n"/>
      <c r="I171" s="554" t="n"/>
      <c r="J171" s="554" t="n"/>
      <c r="K171" s="555" t="n"/>
      <c r="L171" s="555" t="n"/>
      <c r="M171" s="479">
        <f>IF(K171="","",YEAR(K171))</f>
        <v/>
      </c>
      <c r="N171" s="479">
        <f>IF(K171="","",ROUNDUP(MONTH(K171)/3,0))</f>
        <v/>
      </c>
      <c r="O171" s="479">
        <f>IF(K171="","",IF(MONTH(K171)&lt;=6,1,2))</f>
        <v/>
      </c>
      <c r="P171" s="480">
        <f>IF(B171&lt;&gt;"Actif",0,H171*J171)</f>
        <v/>
      </c>
      <c r="Q171" s="480">
        <f>IF(B171&lt;&gt;"Actif",0,H171*I171)</f>
        <v/>
      </c>
      <c r="R171" s="480">
        <f>IF(B171&lt;&gt;"Actif",0,H171*I171*J171)</f>
        <v/>
      </c>
      <c r="S171" s="479" t="n"/>
    </row>
    <row r="172">
      <c r="A172" s="479">
        <f>IF(C172="","",ROW()-4)</f>
        <v/>
      </c>
      <c r="B172" s="479" t="n"/>
      <c r="C172" s="479" t="n"/>
      <c r="D172" s="479" t="n"/>
      <c r="E172" s="479" t="n"/>
      <c r="F172" s="479" t="n"/>
      <c r="G172" s="479" t="n"/>
      <c r="H172" s="480" t="n"/>
      <c r="I172" s="554" t="n"/>
      <c r="J172" s="554" t="n"/>
      <c r="K172" s="555" t="n"/>
      <c r="L172" s="555" t="n"/>
      <c r="M172" s="479">
        <f>IF(K172="","",YEAR(K172))</f>
        <v/>
      </c>
      <c r="N172" s="479">
        <f>IF(K172="","",ROUNDUP(MONTH(K172)/3,0))</f>
        <v/>
      </c>
      <c r="O172" s="479">
        <f>IF(K172="","",IF(MONTH(K172)&lt;=6,1,2))</f>
        <v/>
      </c>
      <c r="P172" s="480">
        <f>IF(B172&lt;&gt;"Actif",0,H172*J172)</f>
        <v/>
      </c>
      <c r="Q172" s="480">
        <f>IF(B172&lt;&gt;"Actif",0,H172*I172)</f>
        <v/>
      </c>
      <c r="R172" s="480">
        <f>IF(B172&lt;&gt;"Actif",0,H172*I172*J172)</f>
        <v/>
      </c>
      <c r="S172" s="479" t="n"/>
    </row>
    <row r="173">
      <c r="A173" s="479">
        <f>IF(C173="","",ROW()-4)</f>
        <v/>
      </c>
      <c r="B173" s="479" t="n"/>
      <c r="C173" s="479" t="n"/>
      <c r="D173" s="479" t="n"/>
      <c r="E173" s="479" t="n"/>
      <c r="F173" s="479" t="n"/>
      <c r="G173" s="479" t="n"/>
      <c r="H173" s="480" t="n"/>
      <c r="I173" s="554" t="n"/>
      <c r="J173" s="554" t="n"/>
      <c r="K173" s="555" t="n"/>
      <c r="L173" s="555" t="n"/>
      <c r="M173" s="479">
        <f>IF(K173="","",YEAR(K173))</f>
        <v/>
      </c>
      <c r="N173" s="479">
        <f>IF(K173="","",ROUNDUP(MONTH(K173)/3,0))</f>
        <v/>
      </c>
      <c r="O173" s="479">
        <f>IF(K173="","",IF(MONTH(K173)&lt;=6,1,2))</f>
        <v/>
      </c>
      <c r="P173" s="480">
        <f>IF(B173&lt;&gt;"Actif",0,H173*J173)</f>
        <v/>
      </c>
      <c r="Q173" s="480">
        <f>IF(B173&lt;&gt;"Actif",0,H173*I173)</f>
        <v/>
      </c>
      <c r="R173" s="480">
        <f>IF(B173&lt;&gt;"Actif",0,H173*I173*J173)</f>
        <v/>
      </c>
      <c r="S173" s="479" t="n"/>
    </row>
    <row r="174">
      <c r="A174" s="479">
        <f>IF(C174="","",ROW()-4)</f>
        <v/>
      </c>
      <c r="B174" s="479" t="n"/>
      <c r="C174" s="479" t="n"/>
      <c r="D174" s="479" t="n"/>
      <c r="E174" s="479" t="n"/>
      <c r="F174" s="479" t="n"/>
      <c r="G174" s="479" t="n"/>
      <c r="H174" s="480" t="n"/>
      <c r="I174" s="554" t="n"/>
      <c r="J174" s="554" t="n"/>
      <c r="K174" s="555" t="n"/>
      <c r="L174" s="555" t="n"/>
      <c r="M174" s="479">
        <f>IF(K174="","",YEAR(K174))</f>
        <v/>
      </c>
      <c r="N174" s="479">
        <f>IF(K174="","",ROUNDUP(MONTH(K174)/3,0))</f>
        <v/>
      </c>
      <c r="O174" s="479">
        <f>IF(K174="","",IF(MONTH(K174)&lt;=6,1,2))</f>
        <v/>
      </c>
      <c r="P174" s="480">
        <f>IF(B174&lt;&gt;"Actif",0,H174*J174)</f>
        <v/>
      </c>
      <c r="Q174" s="480">
        <f>IF(B174&lt;&gt;"Actif",0,H174*I174)</f>
        <v/>
      </c>
      <c r="R174" s="480">
        <f>IF(B174&lt;&gt;"Actif",0,H174*I174*J174)</f>
        <v/>
      </c>
      <c r="S174" s="479" t="n"/>
    </row>
    <row r="175">
      <c r="A175" s="479">
        <f>IF(C175="","",ROW()-4)</f>
        <v/>
      </c>
      <c r="B175" s="479" t="n"/>
      <c r="C175" s="479" t="n"/>
      <c r="D175" s="479" t="n"/>
      <c r="E175" s="479" t="n"/>
      <c r="F175" s="479" t="n"/>
      <c r="G175" s="479" t="n"/>
      <c r="H175" s="480" t="n"/>
      <c r="I175" s="554" t="n"/>
      <c r="J175" s="554" t="n"/>
      <c r="K175" s="555" t="n"/>
      <c r="L175" s="555" t="n"/>
      <c r="M175" s="479">
        <f>IF(K175="","",YEAR(K175))</f>
        <v/>
      </c>
      <c r="N175" s="479">
        <f>IF(K175="","",ROUNDUP(MONTH(K175)/3,0))</f>
        <v/>
      </c>
      <c r="O175" s="479">
        <f>IF(K175="","",IF(MONTH(K175)&lt;=6,1,2))</f>
        <v/>
      </c>
      <c r="P175" s="480">
        <f>IF(B175&lt;&gt;"Actif",0,H175*J175)</f>
        <v/>
      </c>
      <c r="Q175" s="480">
        <f>IF(B175&lt;&gt;"Actif",0,H175*I175)</f>
        <v/>
      </c>
      <c r="R175" s="480">
        <f>IF(B175&lt;&gt;"Actif",0,H175*I175*J175)</f>
        <v/>
      </c>
      <c r="S175" s="479" t="n"/>
    </row>
    <row r="176">
      <c r="A176" s="479">
        <f>IF(C176="","",ROW()-4)</f>
        <v/>
      </c>
      <c r="B176" s="479" t="n"/>
      <c r="C176" s="479" t="n"/>
      <c r="D176" s="479" t="n"/>
      <c r="E176" s="479" t="n"/>
      <c r="F176" s="479" t="n"/>
      <c r="G176" s="479" t="n"/>
      <c r="H176" s="480" t="n"/>
      <c r="I176" s="554" t="n"/>
      <c r="J176" s="554" t="n"/>
      <c r="K176" s="555" t="n"/>
      <c r="L176" s="555" t="n"/>
      <c r="M176" s="479">
        <f>IF(K176="","",YEAR(K176))</f>
        <v/>
      </c>
      <c r="N176" s="479">
        <f>IF(K176="","",ROUNDUP(MONTH(K176)/3,0))</f>
        <v/>
      </c>
      <c r="O176" s="479">
        <f>IF(K176="","",IF(MONTH(K176)&lt;=6,1,2))</f>
        <v/>
      </c>
      <c r="P176" s="480">
        <f>IF(B176&lt;&gt;"Actif",0,H176*J176)</f>
        <v/>
      </c>
      <c r="Q176" s="480">
        <f>IF(B176&lt;&gt;"Actif",0,H176*I176)</f>
        <v/>
      </c>
      <c r="R176" s="480">
        <f>IF(B176&lt;&gt;"Actif",0,H176*I176*J176)</f>
        <v/>
      </c>
      <c r="S176" s="479" t="n"/>
    </row>
    <row r="177">
      <c r="A177" s="479">
        <f>IF(C177="","",ROW()-4)</f>
        <v/>
      </c>
      <c r="B177" s="479" t="n"/>
      <c r="C177" s="479" t="n"/>
      <c r="D177" s="479" t="n"/>
      <c r="E177" s="479" t="n"/>
      <c r="F177" s="479" t="n"/>
      <c r="G177" s="479" t="n"/>
      <c r="H177" s="480" t="n"/>
      <c r="I177" s="554" t="n"/>
      <c r="J177" s="554" t="n"/>
      <c r="K177" s="555" t="n"/>
      <c r="L177" s="555" t="n"/>
      <c r="M177" s="479">
        <f>IF(K177="","",YEAR(K177))</f>
        <v/>
      </c>
      <c r="N177" s="479">
        <f>IF(K177="","",ROUNDUP(MONTH(K177)/3,0))</f>
        <v/>
      </c>
      <c r="O177" s="479">
        <f>IF(K177="","",IF(MONTH(K177)&lt;=6,1,2))</f>
        <v/>
      </c>
      <c r="P177" s="480">
        <f>IF(B177&lt;&gt;"Actif",0,H177*J177)</f>
        <v/>
      </c>
      <c r="Q177" s="480">
        <f>IF(B177&lt;&gt;"Actif",0,H177*I177)</f>
        <v/>
      </c>
      <c r="R177" s="480">
        <f>IF(B177&lt;&gt;"Actif",0,H177*I177*J177)</f>
        <v/>
      </c>
      <c r="S177" s="479" t="n"/>
    </row>
    <row r="178">
      <c r="A178" s="479">
        <f>IF(C178="","",ROW()-4)</f>
        <v/>
      </c>
      <c r="B178" s="479" t="n"/>
      <c r="C178" s="479" t="n"/>
      <c r="D178" s="479" t="n"/>
      <c r="E178" s="479" t="n"/>
      <c r="F178" s="479" t="n"/>
      <c r="G178" s="479" t="n"/>
      <c r="H178" s="480" t="n"/>
      <c r="I178" s="554" t="n"/>
      <c r="J178" s="554" t="n"/>
      <c r="K178" s="555" t="n"/>
      <c r="L178" s="555" t="n"/>
      <c r="M178" s="479">
        <f>IF(K178="","",YEAR(K178))</f>
        <v/>
      </c>
      <c r="N178" s="479">
        <f>IF(K178="","",ROUNDUP(MONTH(K178)/3,0))</f>
        <v/>
      </c>
      <c r="O178" s="479">
        <f>IF(K178="","",IF(MONTH(K178)&lt;=6,1,2))</f>
        <v/>
      </c>
      <c r="P178" s="480">
        <f>IF(B178&lt;&gt;"Actif",0,H178*J178)</f>
        <v/>
      </c>
      <c r="Q178" s="480">
        <f>IF(B178&lt;&gt;"Actif",0,H178*I178)</f>
        <v/>
      </c>
      <c r="R178" s="480">
        <f>IF(B178&lt;&gt;"Actif",0,H178*I178*J178)</f>
        <v/>
      </c>
      <c r="S178" s="479" t="n"/>
    </row>
    <row r="179">
      <c r="A179" s="479">
        <f>IF(C179="","",ROW()-4)</f>
        <v/>
      </c>
      <c r="B179" s="479" t="n"/>
      <c r="C179" s="479" t="n"/>
      <c r="D179" s="479" t="n"/>
      <c r="E179" s="479" t="n"/>
      <c r="F179" s="479" t="n"/>
      <c r="G179" s="479" t="n"/>
      <c r="H179" s="480" t="n"/>
      <c r="I179" s="554" t="n"/>
      <c r="J179" s="554" t="n"/>
      <c r="K179" s="555" t="n"/>
      <c r="L179" s="555" t="n"/>
      <c r="M179" s="479">
        <f>IF(K179="","",YEAR(K179))</f>
        <v/>
      </c>
      <c r="N179" s="479">
        <f>IF(K179="","",ROUNDUP(MONTH(K179)/3,0))</f>
        <v/>
      </c>
      <c r="O179" s="479">
        <f>IF(K179="","",IF(MONTH(K179)&lt;=6,1,2))</f>
        <v/>
      </c>
      <c r="P179" s="480">
        <f>IF(B179&lt;&gt;"Actif",0,H179*J179)</f>
        <v/>
      </c>
      <c r="Q179" s="480">
        <f>IF(B179&lt;&gt;"Actif",0,H179*I179)</f>
        <v/>
      </c>
      <c r="R179" s="480">
        <f>IF(B179&lt;&gt;"Actif",0,H179*I179*J179)</f>
        <v/>
      </c>
      <c r="S179" s="479" t="n"/>
    </row>
    <row r="180">
      <c r="A180" s="479">
        <f>IF(C180="","",ROW()-4)</f>
        <v/>
      </c>
      <c r="B180" s="479" t="n"/>
      <c r="C180" s="479" t="n"/>
      <c r="D180" s="479" t="n"/>
      <c r="E180" s="479" t="n"/>
      <c r="F180" s="479" t="n"/>
      <c r="G180" s="479" t="n"/>
      <c r="H180" s="480" t="n"/>
      <c r="I180" s="554" t="n"/>
      <c r="J180" s="554" t="n"/>
      <c r="K180" s="555" t="n"/>
      <c r="L180" s="555" t="n"/>
      <c r="M180" s="479">
        <f>IF(K180="","",YEAR(K180))</f>
        <v/>
      </c>
      <c r="N180" s="479">
        <f>IF(K180="","",ROUNDUP(MONTH(K180)/3,0))</f>
        <v/>
      </c>
      <c r="O180" s="479">
        <f>IF(K180="","",IF(MONTH(K180)&lt;=6,1,2))</f>
        <v/>
      </c>
      <c r="P180" s="480">
        <f>IF(B180&lt;&gt;"Actif",0,H180*J180)</f>
        <v/>
      </c>
      <c r="Q180" s="480">
        <f>IF(B180&lt;&gt;"Actif",0,H180*I180)</f>
        <v/>
      </c>
      <c r="R180" s="480">
        <f>IF(B180&lt;&gt;"Actif",0,H180*I180*J180)</f>
        <v/>
      </c>
      <c r="S180" s="479" t="n"/>
    </row>
    <row r="181">
      <c r="A181" s="479">
        <f>IF(C181="","",ROW()-4)</f>
        <v/>
      </c>
      <c r="B181" s="479" t="n"/>
      <c r="C181" s="479" t="n"/>
      <c r="D181" s="479" t="n"/>
      <c r="E181" s="479" t="n"/>
      <c r="F181" s="479" t="n"/>
      <c r="G181" s="479" t="n"/>
      <c r="H181" s="480" t="n"/>
      <c r="I181" s="554" t="n"/>
      <c r="J181" s="554" t="n"/>
      <c r="K181" s="555" t="n"/>
      <c r="L181" s="555" t="n"/>
      <c r="M181" s="479">
        <f>IF(K181="","",YEAR(K181))</f>
        <v/>
      </c>
      <c r="N181" s="479">
        <f>IF(K181="","",ROUNDUP(MONTH(K181)/3,0))</f>
        <v/>
      </c>
      <c r="O181" s="479">
        <f>IF(K181="","",IF(MONTH(K181)&lt;=6,1,2))</f>
        <v/>
      </c>
      <c r="P181" s="480">
        <f>IF(B181&lt;&gt;"Actif",0,H181*J181)</f>
        <v/>
      </c>
      <c r="Q181" s="480">
        <f>IF(B181&lt;&gt;"Actif",0,H181*I181)</f>
        <v/>
      </c>
      <c r="R181" s="480">
        <f>IF(B181&lt;&gt;"Actif",0,H181*I181*J181)</f>
        <v/>
      </c>
      <c r="S181" s="479" t="n"/>
    </row>
    <row r="182">
      <c r="A182" s="479">
        <f>IF(C182="","",ROW()-4)</f>
        <v/>
      </c>
      <c r="B182" s="479" t="n"/>
      <c r="C182" s="479" t="n"/>
      <c r="D182" s="479" t="n"/>
      <c r="E182" s="479" t="n"/>
      <c r="F182" s="479" t="n"/>
      <c r="G182" s="479" t="n"/>
      <c r="H182" s="480" t="n"/>
      <c r="I182" s="554" t="n"/>
      <c r="J182" s="554" t="n"/>
      <c r="K182" s="555" t="n"/>
      <c r="L182" s="555" t="n"/>
      <c r="M182" s="479">
        <f>IF(K182="","",YEAR(K182))</f>
        <v/>
      </c>
      <c r="N182" s="479">
        <f>IF(K182="","",ROUNDUP(MONTH(K182)/3,0))</f>
        <v/>
      </c>
      <c r="O182" s="479">
        <f>IF(K182="","",IF(MONTH(K182)&lt;=6,1,2))</f>
        <v/>
      </c>
      <c r="P182" s="480">
        <f>IF(B182&lt;&gt;"Actif",0,H182*J182)</f>
        <v/>
      </c>
      <c r="Q182" s="480">
        <f>IF(B182&lt;&gt;"Actif",0,H182*I182)</f>
        <v/>
      </c>
      <c r="R182" s="480">
        <f>IF(B182&lt;&gt;"Actif",0,H182*I182*J182)</f>
        <v/>
      </c>
      <c r="S182" s="479" t="n"/>
    </row>
    <row r="183">
      <c r="A183" s="479">
        <f>IF(C183="","",ROW()-4)</f>
        <v/>
      </c>
      <c r="B183" s="479" t="n"/>
      <c r="C183" s="479" t="n"/>
      <c r="D183" s="479" t="n"/>
      <c r="E183" s="479" t="n"/>
      <c r="F183" s="479" t="n"/>
      <c r="G183" s="479" t="n"/>
      <c r="H183" s="480" t="n"/>
      <c r="I183" s="554" t="n"/>
      <c r="J183" s="554" t="n"/>
      <c r="K183" s="555" t="n"/>
      <c r="L183" s="555" t="n"/>
      <c r="M183" s="479">
        <f>IF(K183="","",YEAR(K183))</f>
        <v/>
      </c>
      <c r="N183" s="479">
        <f>IF(K183="","",ROUNDUP(MONTH(K183)/3,0))</f>
        <v/>
      </c>
      <c r="O183" s="479">
        <f>IF(K183="","",IF(MONTH(K183)&lt;=6,1,2))</f>
        <v/>
      </c>
      <c r="P183" s="480">
        <f>IF(B183&lt;&gt;"Actif",0,H183*J183)</f>
        <v/>
      </c>
      <c r="Q183" s="480">
        <f>IF(B183&lt;&gt;"Actif",0,H183*I183)</f>
        <v/>
      </c>
      <c r="R183" s="480">
        <f>IF(B183&lt;&gt;"Actif",0,H183*I183*J183)</f>
        <v/>
      </c>
      <c r="S183" s="479" t="n"/>
    </row>
    <row r="184">
      <c r="A184" s="479">
        <f>IF(C184="","",ROW()-4)</f>
        <v/>
      </c>
      <c r="B184" s="479" t="n"/>
      <c r="C184" s="479" t="n"/>
      <c r="D184" s="479" t="n"/>
      <c r="E184" s="479" t="n"/>
      <c r="F184" s="479" t="n"/>
      <c r="G184" s="479" t="n"/>
      <c r="H184" s="480" t="n"/>
      <c r="I184" s="554" t="n"/>
      <c r="J184" s="554" t="n"/>
      <c r="K184" s="555" t="n"/>
      <c r="L184" s="555" t="n"/>
      <c r="M184" s="479">
        <f>IF(K184="","",YEAR(K184))</f>
        <v/>
      </c>
      <c r="N184" s="479">
        <f>IF(K184="","",ROUNDUP(MONTH(K184)/3,0))</f>
        <v/>
      </c>
      <c r="O184" s="479">
        <f>IF(K184="","",IF(MONTH(K184)&lt;=6,1,2))</f>
        <v/>
      </c>
      <c r="P184" s="480">
        <f>IF(B184&lt;&gt;"Actif",0,H184*J184)</f>
        <v/>
      </c>
      <c r="Q184" s="480">
        <f>IF(B184&lt;&gt;"Actif",0,H184*I184)</f>
        <v/>
      </c>
      <c r="R184" s="480">
        <f>IF(B184&lt;&gt;"Actif",0,H184*I184*J184)</f>
        <v/>
      </c>
      <c r="S184" s="479" t="n"/>
    </row>
    <row r="185">
      <c r="A185" s="479">
        <f>IF(C185="","",ROW()-4)</f>
        <v/>
      </c>
      <c r="B185" s="479" t="n"/>
      <c r="C185" s="479" t="n"/>
      <c r="D185" s="479" t="n"/>
      <c r="E185" s="479" t="n"/>
      <c r="F185" s="479" t="n"/>
      <c r="G185" s="479" t="n"/>
      <c r="H185" s="480" t="n"/>
      <c r="I185" s="554" t="n"/>
      <c r="J185" s="554" t="n"/>
      <c r="K185" s="555" t="n"/>
      <c r="L185" s="555" t="n"/>
      <c r="M185" s="479">
        <f>IF(K185="","",YEAR(K185))</f>
        <v/>
      </c>
      <c r="N185" s="479">
        <f>IF(K185="","",ROUNDUP(MONTH(K185)/3,0))</f>
        <v/>
      </c>
      <c r="O185" s="479">
        <f>IF(K185="","",IF(MONTH(K185)&lt;=6,1,2))</f>
        <v/>
      </c>
      <c r="P185" s="480">
        <f>IF(B185&lt;&gt;"Actif",0,H185*J185)</f>
        <v/>
      </c>
      <c r="Q185" s="480">
        <f>IF(B185&lt;&gt;"Actif",0,H185*I185)</f>
        <v/>
      </c>
      <c r="R185" s="480">
        <f>IF(B185&lt;&gt;"Actif",0,H185*I185*J185)</f>
        <v/>
      </c>
      <c r="S185" s="479" t="n"/>
    </row>
    <row r="186">
      <c r="A186" s="479">
        <f>IF(C186="","",ROW()-4)</f>
        <v/>
      </c>
      <c r="B186" s="479" t="n"/>
      <c r="C186" s="479" t="n"/>
      <c r="D186" s="479" t="n"/>
      <c r="E186" s="479" t="n"/>
      <c r="F186" s="479" t="n"/>
      <c r="G186" s="479" t="n"/>
      <c r="H186" s="480" t="n"/>
      <c r="I186" s="554" t="n"/>
      <c r="J186" s="554" t="n"/>
      <c r="K186" s="555" t="n"/>
      <c r="L186" s="555" t="n"/>
      <c r="M186" s="479">
        <f>IF(K186="","",YEAR(K186))</f>
        <v/>
      </c>
      <c r="N186" s="479">
        <f>IF(K186="","",ROUNDUP(MONTH(K186)/3,0))</f>
        <v/>
      </c>
      <c r="O186" s="479">
        <f>IF(K186="","",IF(MONTH(K186)&lt;=6,1,2))</f>
        <v/>
      </c>
      <c r="P186" s="480">
        <f>IF(B186&lt;&gt;"Actif",0,H186*J186)</f>
        <v/>
      </c>
      <c r="Q186" s="480">
        <f>IF(B186&lt;&gt;"Actif",0,H186*I186)</f>
        <v/>
      </c>
      <c r="R186" s="480">
        <f>IF(B186&lt;&gt;"Actif",0,H186*I186*J186)</f>
        <v/>
      </c>
      <c r="S186" s="479" t="n"/>
    </row>
    <row r="187">
      <c r="A187" s="479">
        <f>IF(C187="","",ROW()-4)</f>
        <v/>
      </c>
      <c r="B187" s="479" t="n"/>
      <c r="C187" s="479" t="n"/>
      <c r="D187" s="479" t="n"/>
      <c r="E187" s="479" t="n"/>
      <c r="F187" s="479" t="n"/>
      <c r="G187" s="479" t="n"/>
      <c r="H187" s="480" t="n"/>
      <c r="I187" s="554" t="n"/>
      <c r="J187" s="554" t="n"/>
      <c r="K187" s="555" t="n"/>
      <c r="L187" s="555" t="n"/>
      <c r="M187" s="479">
        <f>IF(K187="","",YEAR(K187))</f>
        <v/>
      </c>
      <c r="N187" s="479">
        <f>IF(K187="","",ROUNDUP(MONTH(K187)/3,0))</f>
        <v/>
      </c>
      <c r="O187" s="479">
        <f>IF(K187="","",IF(MONTH(K187)&lt;=6,1,2))</f>
        <v/>
      </c>
      <c r="P187" s="480">
        <f>IF(B187&lt;&gt;"Actif",0,H187*J187)</f>
        <v/>
      </c>
      <c r="Q187" s="480">
        <f>IF(B187&lt;&gt;"Actif",0,H187*I187)</f>
        <v/>
      </c>
      <c r="R187" s="480">
        <f>IF(B187&lt;&gt;"Actif",0,H187*I187*J187)</f>
        <v/>
      </c>
      <c r="S187" s="479" t="n"/>
    </row>
    <row r="188">
      <c r="A188" s="479">
        <f>IF(C188="","",ROW()-4)</f>
        <v/>
      </c>
      <c r="B188" s="479" t="n"/>
      <c r="C188" s="479" t="n"/>
      <c r="D188" s="479" t="n"/>
      <c r="E188" s="479" t="n"/>
      <c r="F188" s="479" t="n"/>
      <c r="G188" s="479" t="n"/>
      <c r="H188" s="480" t="n"/>
      <c r="I188" s="554" t="n"/>
      <c r="J188" s="554" t="n"/>
      <c r="K188" s="555" t="n"/>
      <c r="L188" s="555" t="n"/>
      <c r="M188" s="479">
        <f>IF(K188="","",YEAR(K188))</f>
        <v/>
      </c>
      <c r="N188" s="479">
        <f>IF(K188="","",ROUNDUP(MONTH(K188)/3,0))</f>
        <v/>
      </c>
      <c r="O188" s="479">
        <f>IF(K188="","",IF(MONTH(K188)&lt;=6,1,2))</f>
        <v/>
      </c>
      <c r="P188" s="480">
        <f>IF(B188&lt;&gt;"Actif",0,H188*J188)</f>
        <v/>
      </c>
      <c r="Q188" s="480">
        <f>IF(B188&lt;&gt;"Actif",0,H188*I188)</f>
        <v/>
      </c>
      <c r="R188" s="480">
        <f>IF(B188&lt;&gt;"Actif",0,H188*I188*J188)</f>
        <v/>
      </c>
      <c r="S188" s="479" t="n"/>
    </row>
    <row r="189">
      <c r="A189" s="479">
        <f>IF(C189="","",ROW()-4)</f>
        <v/>
      </c>
      <c r="B189" s="479" t="n"/>
      <c r="C189" s="479" t="n"/>
      <c r="D189" s="479" t="n"/>
      <c r="E189" s="479" t="n"/>
      <c r="F189" s="479" t="n"/>
      <c r="G189" s="479" t="n"/>
      <c r="H189" s="480" t="n"/>
      <c r="I189" s="554" t="n"/>
      <c r="J189" s="554" t="n"/>
      <c r="K189" s="555" t="n"/>
      <c r="L189" s="555" t="n"/>
      <c r="M189" s="479">
        <f>IF(K189="","",YEAR(K189))</f>
        <v/>
      </c>
      <c r="N189" s="479">
        <f>IF(K189="","",ROUNDUP(MONTH(K189)/3,0))</f>
        <v/>
      </c>
      <c r="O189" s="479">
        <f>IF(K189="","",IF(MONTH(K189)&lt;=6,1,2))</f>
        <v/>
      </c>
      <c r="P189" s="480">
        <f>IF(B189&lt;&gt;"Actif",0,H189*J189)</f>
        <v/>
      </c>
      <c r="Q189" s="480">
        <f>IF(B189&lt;&gt;"Actif",0,H189*I189)</f>
        <v/>
      </c>
      <c r="R189" s="480">
        <f>IF(B189&lt;&gt;"Actif",0,H189*I189*J189)</f>
        <v/>
      </c>
      <c r="S189" s="479" t="n"/>
    </row>
    <row r="190">
      <c r="A190" s="479">
        <f>IF(C190="","",ROW()-4)</f>
        <v/>
      </c>
      <c r="B190" s="479" t="n"/>
      <c r="C190" s="479" t="n"/>
      <c r="D190" s="479" t="n"/>
      <c r="E190" s="479" t="n"/>
      <c r="F190" s="479" t="n"/>
      <c r="G190" s="479" t="n"/>
      <c r="H190" s="480" t="n"/>
      <c r="I190" s="554" t="n"/>
      <c r="J190" s="554" t="n"/>
      <c r="K190" s="555" t="n"/>
      <c r="L190" s="555" t="n"/>
      <c r="M190" s="479">
        <f>IF(K190="","",YEAR(K190))</f>
        <v/>
      </c>
      <c r="N190" s="479">
        <f>IF(K190="","",ROUNDUP(MONTH(K190)/3,0))</f>
        <v/>
      </c>
      <c r="O190" s="479">
        <f>IF(K190="","",IF(MONTH(K190)&lt;=6,1,2))</f>
        <v/>
      </c>
      <c r="P190" s="480">
        <f>IF(B190&lt;&gt;"Actif",0,H190*J190)</f>
        <v/>
      </c>
      <c r="Q190" s="480">
        <f>IF(B190&lt;&gt;"Actif",0,H190*I190)</f>
        <v/>
      </c>
      <c r="R190" s="480">
        <f>IF(B190&lt;&gt;"Actif",0,H190*I190*J190)</f>
        <v/>
      </c>
      <c r="S190" s="479" t="n"/>
    </row>
    <row r="191">
      <c r="A191" s="479">
        <f>IF(C191="","",ROW()-4)</f>
        <v/>
      </c>
      <c r="B191" s="479" t="n"/>
      <c r="C191" s="479" t="n"/>
      <c r="D191" s="479" t="n"/>
      <c r="E191" s="479" t="n"/>
      <c r="F191" s="479" t="n"/>
      <c r="G191" s="479" t="n"/>
      <c r="H191" s="480" t="n"/>
      <c r="I191" s="554" t="n"/>
      <c r="J191" s="554" t="n"/>
      <c r="K191" s="555" t="n"/>
      <c r="L191" s="555" t="n"/>
      <c r="M191" s="479">
        <f>IF(K191="","",YEAR(K191))</f>
        <v/>
      </c>
      <c r="N191" s="479">
        <f>IF(K191="","",ROUNDUP(MONTH(K191)/3,0))</f>
        <v/>
      </c>
      <c r="O191" s="479">
        <f>IF(K191="","",IF(MONTH(K191)&lt;=6,1,2))</f>
        <v/>
      </c>
      <c r="P191" s="480">
        <f>IF(B191&lt;&gt;"Actif",0,H191*J191)</f>
        <v/>
      </c>
      <c r="Q191" s="480">
        <f>IF(B191&lt;&gt;"Actif",0,H191*I191)</f>
        <v/>
      </c>
      <c r="R191" s="480">
        <f>IF(B191&lt;&gt;"Actif",0,H191*I191*J191)</f>
        <v/>
      </c>
      <c r="S191" s="479" t="n"/>
    </row>
    <row r="192">
      <c r="A192" s="479">
        <f>IF(C192="","",ROW()-4)</f>
        <v/>
      </c>
      <c r="B192" s="479" t="n"/>
      <c r="C192" s="479" t="n"/>
      <c r="D192" s="479" t="n"/>
      <c r="E192" s="479" t="n"/>
      <c r="F192" s="479" t="n"/>
      <c r="G192" s="479" t="n"/>
      <c r="H192" s="480" t="n"/>
      <c r="I192" s="554" t="n"/>
      <c r="J192" s="554" t="n"/>
      <c r="K192" s="555" t="n"/>
      <c r="L192" s="555" t="n"/>
      <c r="M192" s="479">
        <f>IF(K192="","",YEAR(K192))</f>
        <v/>
      </c>
      <c r="N192" s="479">
        <f>IF(K192="","",ROUNDUP(MONTH(K192)/3,0))</f>
        <v/>
      </c>
      <c r="O192" s="479">
        <f>IF(K192="","",IF(MONTH(K192)&lt;=6,1,2))</f>
        <v/>
      </c>
      <c r="P192" s="480">
        <f>IF(B192&lt;&gt;"Actif",0,H192*J192)</f>
        <v/>
      </c>
      <c r="Q192" s="480">
        <f>IF(B192&lt;&gt;"Actif",0,H192*I192)</f>
        <v/>
      </c>
      <c r="R192" s="480">
        <f>IF(B192&lt;&gt;"Actif",0,H192*I192*J192)</f>
        <v/>
      </c>
      <c r="S192" s="479" t="n"/>
    </row>
    <row r="193">
      <c r="A193" s="479">
        <f>IF(C193="","",ROW()-4)</f>
        <v/>
      </c>
      <c r="B193" s="479" t="n"/>
      <c r="C193" s="479" t="n"/>
      <c r="D193" s="479" t="n"/>
      <c r="E193" s="479" t="n"/>
      <c r="F193" s="479" t="n"/>
      <c r="G193" s="479" t="n"/>
      <c r="H193" s="480" t="n"/>
      <c r="I193" s="554" t="n"/>
      <c r="J193" s="554" t="n"/>
      <c r="K193" s="555" t="n"/>
      <c r="L193" s="555" t="n"/>
      <c r="M193" s="479">
        <f>IF(K193="","",YEAR(K193))</f>
        <v/>
      </c>
      <c r="N193" s="479">
        <f>IF(K193="","",ROUNDUP(MONTH(K193)/3,0))</f>
        <v/>
      </c>
      <c r="O193" s="479">
        <f>IF(K193="","",IF(MONTH(K193)&lt;=6,1,2))</f>
        <v/>
      </c>
      <c r="P193" s="480">
        <f>IF(B193&lt;&gt;"Actif",0,H193*J193)</f>
        <v/>
      </c>
      <c r="Q193" s="480">
        <f>IF(B193&lt;&gt;"Actif",0,H193*I193)</f>
        <v/>
      </c>
      <c r="R193" s="480">
        <f>IF(B193&lt;&gt;"Actif",0,H193*I193*J193)</f>
        <v/>
      </c>
      <c r="S193" s="479" t="n"/>
    </row>
    <row r="194">
      <c r="A194" s="479">
        <f>IF(C194="","",ROW()-4)</f>
        <v/>
      </c>
      <c r="B194" s="479" t="n"/>
      <c r="C194" s="479" t="n"/>
      <c r="D194" s="479" t="n"/>
      <c r="E194" s="479" t="n"/>
      <c r="F194" s="479" t="n"/>
      <c r="G194" s="479" t="n"/>
      <c r="H194" s="480" t="n"/>
      <c r="I194" s="554" t="n"/>
      <c r="J194" s="554" t="n"/>
      <c r="K194" s="555" t="n"/>
      <c r="L194" s="555" t="n"/>
      <c r="M194" s="479">
        <f>IF(K194="","",YEAR(K194))</f>
        <v/>
      </c>
      <c r="N194" s="479">
        <f>IF(K194="","",ROUNDUP(MONTH(K194)/3,0))</f>
        <v/>
      </c>
      <c r="O194" s="479">
        <f>IF(K194="","",IF(MONTH(K194)&lt;=6,1,2))</f>
        <v/>
      </c>
      <c r="P194" s="480">
        <f>IF(B194&lt;&gt;"Actif",0,H194*J194)</f>
        <v/>
      </c>
      <c r="Q194" s="480">
        <f>IF(B194&lt;&gt;"Actif",0,H194*I194)</f>
        <v/>
      </c>
      <c r="R194" s="480">
        <f>IF(B194&lt;&gt;"Actif",0,H194*I194*J194)</f>
        <v/>
      </c>
      <c r="S194" s="479" t="n"/>
    </row>
    <row r="195">
      <c r="A195" s="479">
        <f>IF(C195="","",ROW()-4)</f>
        <v/>
      </c>
      <c r="B195" s="479" t="n"/>
      <c r="C195" s="479" t="n"/>
      <c r="D195" s="479" t="n"/>
      <c r="E195" s="479" t="n"/>
      <c r="F195" s="479" t="n"/>
      <c r="G195" s="479" t="n"/>
      <c r="H195" s="480" t="n"/>
      <c r="I195" s="554" t="n"/>
      <c r="J195" s="554" t="n"/>
      <c r="K195" s="555" t="n"/>
      <c r="L195" s="555" t="n"/>
      <c r="M195" s="479">
        <f>IF(K195="","",YEAR(K195))</f>
        <v/>
      </c>
      <c r="N195" s="479">
        <f>IF(K195="","",ROUNDUP(MONTH(K195)/3,0))</f>
        <v/>
      </c>
      <c r="O195" s="479">
        <f>IF(K195="","",IF(MONTH(K195)&lt;=6,1,2))</f>
        <v/>
      </c>
      <c r="P195" s="480">
        <f>IF(B195&lt;&gt;"Actif",0,H195*J195)</f>
        <v/>
      </c>
      <c r="Q195" s="480">
        <f>IF(B195&lt;&gt;"Actif",0,H195*I195)</f>
        <v/>
      </c>
      <c r="R195" s="480">
        <f>IF(B195&lt;&gt;"Actif",0,H195*I195*J195)</f>
        <v/>
      </c>
      <c r="S195" s="479" t="n"/>
    </row>
    <row r="196">
      <c r="A196" s="479">
        <f>IF(C196="","",ROW()-4)</f>
        <v/>
      </c>
      <c r="B196" s="479" t="n"/>
      <c r="C196" s="479" t="n"/>
      <c r="D196" s="479" t="n"/>
      <c r="E196" s="479" t="n"/>
      <c r="F196" s="479" t="n"/>
      <c r="G196" s="479" t="n"/>
      <c r="H196" s="480" t="n"/>
      <c r="I196" s="554" t="n"/>
      <c r="J196" s="554" t="n"/>
      <c r="K196" s="555" t="n"/>
      <c r="L196" s="555" t="n"/>
      <c r="M196" s="479">
        <f>IF(K196="","",YEAR(K196))</f>
        <v/>
      </c>
      <c r="N196" s="479">
        <f>IF(K196="","",ROUNDUP(MONTH(K196)/3,0))</f>
        <v/>
      </c>
      <c r="O196" s="479">
        <f>IF(K196="","",IF(MONTH(K196)&lt;=6,1,2))</f>
        <v/>
      </c>
      <c r="P196" s="480">
        <f>IF(B196&lt;&gt;"Actif",0,H196*J196)</f>
        <v/>
      </c>
      <c r="Q196" s="480">
        <f>IF(B196&lt;&gt;"Actif",0,H196*I196)</f>
        <v/>
      </c>
      <c r="R196" s="480">
        <f>IF(B196&lt;&gt;"Actif",0,H196*I196*J196)</f>
        <v/>
      </c>
      <c r="S196" s="479" t="n"/>
    </row>
    <row r="197">
      <c r="A197" s="479">
        <f>IF(C197="","",ROW()-4)</f>
        <v/>
      </c>
      <c r="B197" s="479" t="n"/>
      <c r="C197" s="479" t="n"/>
      <c r="D197" s="479" t="n"/>
      <c r="E197" s="479" t="n"/>
      <c r="F197" s="479" t="n"/>
      <c r="G197" s="479" t="n"/>
      <c r="H197" s="480" t="n"/>
      <c r="I197" s="554" t="n"/>
      <c r="J197" s="554" t="n"/>
      <c r="K197" s="555" t="n"/>
      <c r="L197" s="555" t="n"/>
      <c r="M197" s="479">
        <f>IF(K197="","",YEAR(K197))</f>
        <v/>
      </c>
      <c r="N197" s="479">
        <f>IF(K197="","",ROUNDUP(MONTH(K197)/3,0))</f>
        <v/>
      </c>
      <c r="O197" s="479">
        <f>IF(K197="","",IF(MONTH(K197)&lt;=6,1,2))</f>
        <v/>
      </c>
      <c r="P197" s="480">
        <f>IF(B197&lt;&gt;"Actif",0,H197*J197)</f>
        <v/>
      </c>
      <c r="Q197" s="480">
        <f>IF(B197&lt;&gt;"Actif",0,H197*I197)</f>
        <v/>
      </c>
      <c r="R197" s="480">
        <f>IF(B197&lt;&gt;"Actif",0,H197*I197*J197)</f>
        <v/>
      </c>
      <c r="S197" s="479" t="n"/>
    </row>
    <row r="198">
      <c r="A198" s="479">
        <f>IF(C198="","",ROW()-4)</f>
        <v/>
      </c>
      <c r="B198" s="479" t="n"/>
      <c r="C198" s="479" t="n"/>
      <c r="D198" s="479" t="n"/>
      <c r="E198" s="479" t="n"/>
      <c r="F198" s="479" t="n"/>
      <c r="G198" s="479" t="n"/>
      <c r="H198" s="480" t="n"/>
      <c r="I198" s="554" t="n"/>
      <c r="J198" s="554" t="n"/>
      <c r="K198" s="555" t="n"/>
      <c r="L198" s="555" t="n"/>
      <c r="M198" s="479">
        <f>IF(K198="","",YEAR(K198))</f>
        <v/>
      </c>
      <c r="N198" s="479">
        <f>IF(K198="","",ROUNDUP(MONTH(K198)/3,0))</f>
        <v/>
      </c>
      <c r="O198" s="479">
        <f>IF(K198="","",IF(MONTH(K198)&lt;=6,1,2))</f>
        <v/>
      </c>
      <c r="P198" s="480">
        <f>IF(B198&lt;&gt;"Actif",0,H198*J198)</f>
        <v/>
      </c>
      <c r="Q198" s="480">
        <f>IF(B198&lt;&gt;"Actif",0,H198*I198)</f>
        <v/>
      </c>
      <c r="R198" s="480">
        <f>IF(B198&lt;&gt;"Actif",0,H198*I198*J198)</f>
        <v/>
      </c>
      <c r="S198" s="479" t="n"/>
    </row>
    <row r="199">
      <c r="A199" s="479">
        <f>IF(C199="","",ROW()-4)</f>
        <v/>
      </c>
      <c r="B199" s="479" t="n"/>
      <c r="C199" s="479" t="n"/>
      <c r="D199" s="479" t="n"/>
      <c r="E199" s="479" t="n"/>
      <c r="F199" s="479" t="n"/>
      <c r="G199" s="479" t="n"/>
      <c r="H199" s="480" t="n"/>
      <c r="I199" s="554" t="n"/>
      <c r="J199" s="554" t="n"/>
      <c r="K199" s="555" t="n"/>
      <c r="L199" s="555" t="n"/>
      <c r="M199" s="479">
        <f>IF(K199="","",YEAR(K199))</f>
        <v/>
      </c>
      <c r="N199" s="479">
        <f>IF(K199="","",ROUNDUP(MONTH(K199)/3,0))</f>
        <v/>
      </c>
      <c r="O199" s="479">
        <f>IF(K199="","",IF(MONTH(K199)&lt;=6,1,2))</f>
        <v/>
      </c>
      <c r="P199" s="480">
        <f>IF(B199&lt;&gt;"Actif",0,H199*J199)</f>
        <v/>
      </c>
      <c r="Q199" s="480">
        <f>IF(B199&lt;&gt;"Actif",0,H199*I199)</f>
        <v/>
      </c>
      <c r="R199" s="480">
        <f>IF(B199&lt;&gt;"Actif",0,H199*I199*J199)</f>
        <v/>
      </c>
      <c r="S199" s="479" t="n"/>
    </row>
    <row r="200">
      <c r="A200" s="479">
        <f>IF(C200="","",ROW()-4)</f>
        <v/>
      </c>
      <c r="B200" s="479" t="n"/>
      <c r="C200" s="479" t="n"/>
      <c r="D200" s="479" t="n"/>
      <c r="E200" s="479" t="n"/>
      <c r="F200" s="479" t="n"/>
      <c r="G200" s="479" t="n"/>
      <c r="H200" s="480" t="n"/>
      <c r="I200" s="554" t="n"/>
      <c r="J200" s="554" t="n"/>
      <c r="K200" s="555" t="n"/>
      <c r="L200" s="555" t="n"/>
      <c r="M200" s="479">
        <f>IF(K200="","",YEAR(K200))</f>
        <v/>
      </c>
      <c r="N200" s="479">
        <f>IF(K200="","",ROUNDUP(MONTH(K200)/3,0))</f>
        <v/>
      </c>
      <c r="O200" s="479">
        <f>IF(K200="","",IF(MONTH(K200)&lt;=6,1,2))</f>
        <v/>
      </c>
      <c r="P200" s="480">
        <f>IF(B200&lt;&gt;"Actif",0,H200*J200)</f>
        <v/>
      </c>
      <c r="Q200" s="480">
        <f>IF(B200&lt;&gt;"Actif",0,H200*I200)</f>
        <v/>
      </c>
      <c r="R200" s="480">
        <f>IF(B200&lt;&gt;"Actif",0,H200*I200*J200)</f>
        <v/>
      </c>
      <c r="S200" s="479" t="n"/>
    </row>
    <row r="201">
      <c r="A201" s="479">
        <f>IF(C201="","",ROW()-4)</f>
        <v/>
      </c>
      <c r="B201" s="479" t="n"/>
      <c r="C201" s="479" t="n"/>
      <c r="D201" s="479" t="n"/>
      <c r="E201" s="479" t="n"/>
      <c r="F201" s="479" t="n"/>
      <c r="G201" s="479" t="n"/>
      <c r="H201" s="480" t="n"/>
      <c r="I201" s="554" t="n"/>
      <c r="J201" s="554" t="n"/>
      <c r="K201" s="555" t="n"/>
      <c r="L201" s="555" t="n"/>
      <c r="M201" s="479">
        <f>IF(K201="","",YEAR(K201))</f>
        <v/>
      </c>
      <c r="N201" s="479">
        <f>IF(K201="","",ROUNDUP(MONTH(K201)/3,0))</f>
        <v/>
      </c>
      <c r="O201" s="479">
        <f>IF(K201="","",IF(MONTH(K201)&lt;=6,1,2))</f>
        <v/>
      </c>
      <c r="P201" s="480">
        <f>IF(B201&lt;&gt;"Actif",0,H201*J201)</f>
        <v/>
      </c>
      <c r="Q201" s="480">
        <f>IF(B201&lt;&gt;"Actif",0,H201*I201)</f>
        <v/>
      </c>
      <c r="R201" s="480">
        <f>IF(B201&lt;&gt;"Actif",0,H201*I201*J201)</f>
        <v/>
      </c>
      <c r="S201" s="479" t="n"/>
    </row>
    <row r="202">
      <c r="A202" s="479">
        <f>IF(C202="","",ROW()-4)</f>
        <v/>
      </c>
      <c r="B202" s="479" t="n"/>
      <c r="C202" s="479" t="n"/>
      <c r="D202" s="479" t="n"/>
      <c r="E202" s="479" t="n"/>
      <c r="F202" s="479" t="n"/>
      <c r="G202" s="479" t="n"/>
      <c r="H202" s="480" t="n"/>
      <c r="I202" s="554" t="n"/>
      <c r="J202" s="554" t="n"/>
      <c r="K202" s="555" t="n"/>
      <c r="L202" s="555" t="n"/>
      <c r="M202" s="479">
        <f>IF(K202="","",YEAR(K202))</f>
        <v/>
      </c>
      <c r="N202" s="479">
        <f>IF(K202="","",ROUNDUP(MONTH(K202)/3,0))</f>
        <v/>
      </c>
      <c r="O202" s="479">
        <f>IF(K202="","",IF(MONTH(K202)&lt;=6,1,2))</f>
        <v/>
      </c>
      <c r="P202" s="480">
        <f>IF(B202&lt;&gt;"Actif",0,H202*J202)</f>
        <v/>
      </c>
      <c r="Q202" s="480">
        <f>IF(B202&lt;&gt;"Actif",0,H202*I202)</f>
        <v/>
      </c>
      <c r="R202" s="480">
        <f>IF(B202&lt;&gt;"Actif",0,H202*I202*J202)</f>
        <v/>
      </c>
      <c r="S202" s="479" t="n"/>
    </row>
    <row r="203">
      <c r="A203" s="479">
        <f>IF(C203="","",ROW()-4)</f>
        <v/>
      </c>
      <c r="B203" s="479" t="n"/>
      <c r="C203" s="479" t="n"/>
      <c r="D203" s="479" t="n"/>
      <c r="E203" s="479" t="n"/>
      <c r="F203" s="479" t="n"/>
      <c r="G203" s="479" t="n"/>
      <c r="H203" s="480" t="n"/>
      <c r="I203" s="554" t="n"/>
      <c r="J203" s="554" t="n"/>
      <c r="K203" s="555" t="n"/>
      <c r="L203" s="555" t="n"/>
      <c r="M203" s="479">
        <f>IF(K203="","",YEAR(K203))</f>
        <v/>
      </c>
      <c r="N203" s="479">
        <f>IF(K203="","",ROUNDUP(MONTH(K203)/3,0))</f>
        <v/>
      </c>
      <c r="O203" s="479">
        <f>IF(K203="","",IF(MONTH(K203)&lt;=6,1,2))</f>
        <v/>
      </c>
      <c r="P203" s="480">
        <f>IF(B203&lt;&gt;"Actif",0,H203*J203)</f>
        <v/>
      </c>
      <c r="Q203" s="480">
        <f>IF(B203&lt;&gt;"Actif",0,H203*I203)</f>
        <v/>
      </c>
      <c r="R203" s="480">
        <f>IF(B203&lt;&gt;"Actif",0,H203*I203*J203)</f>
        <v/>
      </c>
      <c r="S203" s="479" t="n"/>
    </row>
    <row r="204">
      <c r="A204" s="479">
        <f>IF(C204="","",ROW()-4)</f>
        <v/>
      </c>
      <c r="B204" s="479" t="n"/>
      <c r="C204" s="479" t="n"/>
      <c r="D204" s="479" t="n"/>
      <c r="E204" s="479" t="n"/>
      <c r="F204" s="479" t="n"/>
      <c r="G204" s="479" t="n"/>
      <c r="H204" s="480" t="n"/>
      <c r="I204" s="554" t="n"/>
      <c r="J204" s="554" t="n"/>
      <c r="K204" s="555" t="n"/>
      <c r="L204" s="555" t="n"/>
      <c r="M204" s="479">
        <f>IF(K204="","",YEAR(K204))</f>
        <v/>
      </c>
      <c r="N204" s="479">
        <f>IF(K204="","",ROUNDUP(MONTH(K204)/3,0))</f>
        <v/>
      </c>
      <c r="O204" s="479">
        <f>IF(K204="","",IF(MONTH(K204)&lt;=6,1,2))</f>
        <v/>
      </c>
      <c r="P204" s="480">
        <f>IF(B204&lt;&gt;"Actif",0,H204*J204)</f>
        <v/>
      </c>
      <c r="Q204" s="480">
        <f>IF(B204&lt;&gt;"Actif",0,H204*I204)</f>
        <v/>
      </c>
      <c r="R204" s="480">
        <f>IF(B204&lt;&gt;"Actif",0,H204*I204*J204)</f>
        <v/>
      </c>
      <c r="S204" s="479" t="n"/>
    </row>
    <row r="205">
      <c r="A205" s="479">
        <f>IF(C205="","",ROW()-4)</f>
        <v/>
      </c>
      <c r="B205" s="479" t="n"/>
      <c r="C205" s="479" t="n"/>
      <c r="D205" s="479" t="n"/>
      <c r="E205" s="479" t="n"/>
      <c r="F205" s="479" t="n"/>
      <c r="G205" s="479" t="n"/>
      <c r="H205" s="480" t="n"/>
      <c r="I205" s="554" t="n"/>
      <c r="J205" s="554" t="n"/>
      <c r="K205" s="555" t="n"/>
      <c r="L205" s="555" t="n"/>
      <c r="M205" s="479">
        <f>IF(K205="","",YEAR(K205))</f>
        <v/>
      </c>
      <c r="N205" s="479">
        <f>IF(K205="","",ROUNDUP(MONTH(K205)/3,0))</f>
        <v/>
      </c>
      <c r="O205" s="479">
        <f>IF(K205="","",IF(MONTH(K205)&lt;=6,1,2))</f>
        <v/>
      </c>
      <c r="P205" s="480">
        <f>IF(B205&lt;&gt;"Actif",0,H205*J205)</f>
        <v/>
      </c>
      <c r="Q205" s="480">
        <f>IF(B205&lt;&gt;"Actif",0,H205*I205)</f>
        <v/>
      </c>
      <c r="R205" s="480">
        <f>IF(B205&lt;&gt;"Actif",0,H205*I205*J205)</f>
        <v/>
      </c>
      <c r="S205" s="479" t="n"/>
    </row>
    <row r="206">
      <c r="A206" s="479">
        <f>IF(C206="","",ROW()-4)</f>
        <v/>
      </c>
      <c r="B206" s="479" t="n"/>
      <c r="C206" s="479" t="n"/>
      <c r="D206" s="479" t="n"/>
      <c r="E206" s="479" t="n"/>
      <c r="F206" s="479" t="n"/>
      <c r="G206" s="479" t="n"/>
      <c r="H206" s="480" t="n"/>
      <c r="I206" s="554" t="n"/>
      <c r="J206" s="554" t="n"/>
      <c r="K206" s="555" t="n"/>
      <c r="L206" s="555" t="n"/>
      <c r="M206" s="479">
        <f>IF(K206="","",YEAR(K206))</f>
        <v/>
      </c>
      <c r="N206" s="479">
        <f>IF(K206="","",ROUNDUP(MONTH(K206)/3,0))</f>
        <v/>
      </c>
      <c r="O206" s="479">
        <f>IF(K206="","",IF(MONTH(K206)&lt;=6,1,2))</f>
        <v/>
      </c>
      <c r="P206" s="480">
        <f>IF(B206&lt;&gt;"Actif",0,H206*J206)</f>
        <v/>
      </c>
      <c r="Q206" s="480">
        <f>IF(B206&lt;&gt;"Actif",0,H206*I206)</f>
        <v/>
      </c>
      <c r="R206" s="480">
        <f>IF(B206&lt;&gt;"Actif",0,H206*I206*J206)</f>
        <v/>
      </c>
      <c r="S206" s="479" t="n"/>
    </row>
    <row r="207">
      <c r="A207" s="479">
        <f>IF(C207="","",ROW()-4)</f>
        <v/>
      </c>
      <c r="B207" s="479" t="n"/>
      <c r="C207" s="479" t="n"/>
      <c r="D207" s="479" t="n"/>
      <c r="E207" s="479" t="n"/>
      <c r="F207" s="479" t="n"/>
      <c r="G207" s="479" t="n"/>
      <c r="H207" s="480" t="n"/>
      <c r="I207" s="554" t="n"/>
      <c r="J207" s="554" t="n"/>
      <c r="K207" s="555" t="n"/>
      <c r="L207" s="555" t="n"/>
      <c r="M207" s="479">
        <f>IF(K207="","",YEAR(K207))</f>
        <v/>
      </c>
      <c r="N207" s="479">
        <f>IF(K207="","",ROUNDUP(MONTH(K207)/3,0))</f>
        <v/>
      </c>
      <c r="O207" s="479">
        <f>IF(K207="","",IF(MONTH(K207)&lt;=6,1,2))</f>
        <v/>
      </c>
      <c r="P207" s="480">
        <f>IF(B207&lt;&gt;"Actif",0,H207*J207)</f>
        <v/>
      </c>
      <c r="Q207" s="480">
        <f>IF(B207&lt;&gt;"Actif",0,H207*I207)</f>
        <v/>
      </c>
      <c r="R207" s="480">
        <f>IF(B207&lt;&gt;"Actif",0,H207*I207*J207)</f>
        <v/>
      </c>
      <c r="S207" s="479" t="n"/>
    </row>
    <row r="208">
      <c r="A208" s="479">
        <f>IF(C208="","",ROW()-4)</f>
        <v/>
      </c>
      <c r="B208" s="479" t="n"/>
      <c r="C208" s="479" t="n"/>
      <c r="D208" s="479" t="n"/>
      <c r="E208" s="479" t="n"/>
      <c r="F208" s="479" t="n"/>
      <c r="G208" s="479" t="n"/>
      <c r="H208" s="480" t="n"/>
      <c r="I208" s="554" t="n"/>
      <c r="J208" s="554" t="n"/>
      <c r="K208" s="555" t="n"/>
      <c r="L208" s="555" t="n"/>
      <c r="M208" s="479">
        <f>IF(K208="","",YEAR(K208))</f>
        <v/>
      </c>
      <c r="N208" s="479">
        <f>IF(K208="","",ROUNDUP(MONTH(K208)/3,0))</f>
        <v/>
      </c>
      <c r="O208" s="479">
        <f>IF(K208="","",IF(MONTH(K208)&lt;=6,1,2))</f>
        <v/>
      </c>
      <c r="P208" s="480">
        <f>IF(B208&lt;&gt;"Actif",0,H208*J208)</f>
        <v/>
      </c>
      <c r="Q208" s="480">
        <f>IF(B208&lt;&gt;"Actif",0,H208*I208)</f>
        <v/>
      </c>
      <c r="R208" s="480">
        <f>IF(B208&lt;&gt;"Actif",0,H208*I208*J208)</f>
        <v/>
      </c>
      <c r="S208" s="479" t="n"/>
    </row>
    <row r="209">
      <c r="A209" s="479">
        <f>IF(C209="","",ROW()-4)</f>
        <v/>
      </c>
      <c r="B209" s="479" t="n"/>
      <c r="C209" s="479" t="n"/>
      <c r="D209" s="479" t="n"/>
      <c r="E209" s="479" t="n"/>
      <c r="F209" s="479" t="n"/>
      <c r="G209" s="479" t="n"/>
      <c r="H209" s="480" t="n"/>
      <c r="I209" s="554" t="n"/>
      <c r="J209" s="554" t="n"/>
      <c r="K209" s="555" t="n"/>
      <c r="L209" s="555" t="n"/>
      <c r="M209" s="479">
        <f>IF(K209="","",YEAR(K209))</f>
        <v/>
      </c>
      <c r="N209" s="479">
        <f>IF(K209="","",ROUNDUP(MONTH(K209)/3,0))</f>
        <v/>
      </c>
      <c r="O209" s="479">
        <f>IF(K209="","",IF(MONTH(K209)&lt;=6,1,2))</f>
        <v/>
      </c>
      <c r="P209" s="480">
        <f>IF(B209&lt;&gt;"Actif",0,H209*J209)</f>
        <v/>
      </c>
      <c r="Q209" s="480">
        <f>IF(B209&lt;&gt;"Actif",0,H209*I209)</f>
        <v/>
      </c>
      <c r="R209" s="480">
        <f>IF(B209&lt;&gt;"Actif",0,H209*I209*J209)</f>
        <v/>
      </c>
      <c r="S209" s="479" t="n"/>
    </row>
    <row r="210">
      <c r="A210" s="479">
        <f>IF(C210="","",ROW()-4)</f>
        <v/>
      </c>
      <c r="B210" s="479" t="n"/>
      <c r="C210" s="479" t="n"/>
      <c r="D210" s="479" t="n"/>
      <c r="E210" s="479" t="n"/>
      <c r="F210" s="479" t="n"/>
      <c r="G210" s="479" t="n"/>
      <c r="H210" s="480" t="n"/>
      <c r="I210" s="554" t="n"/>
      <c r="J210" s="554" t="n"/>
      <c r="K210" s="555" t="n"/>
      <c r="L210" s="555" t="n"/>
      <c r="M210" s="479">
        <f>IF(K210="","",YEAR(K210))</f>
        <v/>
      </c>
      <c r="N210" s="479">
        <f>IF(K210="","",ROUNDUP(MONTH(K210)/3,0))</f>
        <v/>
      </c>
      <c r="O210" s="479">
        <f>IF(K210="","",IF(MONTH(K210)&lt;=6,1,2))</f>
        <v/>
      </c>
      <c r="P210" s="480">
        <f>IF(B210&lt;&gt;"Actif",0,H210*J210)</f>
        <v/>
      </c>
      <c r="Q210" s="480">
        <f>IF(B210&lt;&gt;"Actif",0,H210*I210)</f>
        <v/>
      </c>
      <c r="R210" s="480">
        <f>IF(B210&lt;&gt;"Actif",0,H210*I210*J210)</f>
        <v/>
      </c>
      <c r="S210" s="479" t="n"/>
    </row>
    <row r="211">
      <c r="A211" s="479">
        <f>IF(C211="","",ROW()-4)</f>
        <v/>
      </c>
      <c r="B211" s="479" t="n"/>
      <c r="C211" s="479" t="n"/>
      <c r="D211" s="479" t="n"/>
      <c r="E211" s="479" t="n"/>
      <c r="F211" s="479" t="n"/>
      <c r="G211" s="479" t="n"/>
      <c r="H211" s="480" t="n"/>
      <c r="I211" s="554" t="n"/>
      <c r="J211" s="554" t="n"/>
      <c r="K211" s="555" t="n"/>
      <c r="L211" s="555" t="n"/>
      <c r="M211" s="479">
        <f>IF(K211="","",YEAR(K211))</f>
        <v/>
      </c>
      <c r="N211" s="479">
        <f>IF(K211="","",ROUNDUP(MONTH(K211)/3,0))</f>
        <v/>
      </c>
      <c r="O211" s="479">
        <f>IF(K211="","",IF(MONTH(K211)&lt;=6,1,2))</f>
        <v/>
      </c>
      <c r="P211" s="480">
        <f>IF(B211&lt;&gt;"Actif",0,H211*J211)</f>
        <v/>
      </c>
      <c r="Q211" s="480">
        <f>IF(B211&lt;&gt;"Actif",0,H211*I211)</f>
        <v/>
      </c>
      <c r="R211" s="480">
        <f>IF(B211&lt;&gt;"Actif",0,H211*I211*J211)</f>
        <v/>
      </c>
      <c r="S211" s="479" t="n"/>
    </row>
    <row r="212">
      <c r="A212" s="479">
        <f>IF(C212="","",ROW()-4)</f>
        <v/>
      </c>
      <c r="B212" s="479" t="n"/>
      <c r="C212" s="479" t="n"/>
      <c r="D212" s="479" t="n"/>
      <c r="E212" s="479" t="n"/>
      <c r="F212" s="479" t="n"/>
      <c r="G212" s="479" t="n"/>
      <c r="H212" s="480" t="n"/>
      <c r="I212" s="554" t="n"/>
      <c r="J212" s="554" t="n"/>
      <c r="K212" s="555" t="n"/>
      <c r="L212" s="555" t="n"/>
      <c r="M212" s="479">
        <f>IF(K212="","",YEAR(K212))</f>
        <v/>
      </c>
      <c r="N212" s="479">
        <f>IF(K212="","",ROUNDUP(MONTH(K212)/3,0))</f>
        <v/>
      </c>
      <c r="O212" s="479">
        <f>IF(K212="","",IF(MONTH(K212)&lt;=6,1,2))</f>
        <v/>
      </c>
      <c r="P212" s="480">
        <f>IF(B212&lt;&gt;"Actif",0,H212*J212)</f>
        <v/>
      </c>
      <c r="Q212" s="480">
        <f>IF(B212&lt;&gt;"Actif",0,H212*I212)</f>
        <v/>
      </c>
      <c r="R212" s="480">
        <f>IF(B212&lt;&gt;"Actif",0,H212*I212*J212)</f>
        <v/>
      </c>
      <c r="S212" s="479" t="n"/>
    </row>
    <row r="213">
      <c r="A213" s="479">
        <f>IF(C213="","",ROW()-4)</f>
        <v/>
      </c>
      <c r="B213" s="479" t="n"/>
      <c r="C213" s="479" t="n"/>
      <c r="D213" s="479" t="n"/>
      <c r="E213" s="479" t="n"/>
      <c r="F213" s="479" t="n"/>
      <c r="G213" s="479" t="n"/>
      <c r="H213" s="480" t="n"/>
      <c r="I213" s="554" t="n"/>
      <c r="J213" s="554" t="n"/>
      <c r="K213" s="555" t="n"/>
      <c r="L213" s="555" t="n"/>
      <c r="M213" s="479">
        <f>IF(K213="","",YEAR(K213))</f>
        <v/>
      </c>
      <c r="N213" s="479">
        <f>IF(K213="","",ROUNDUP(MONTH(K213)/3,0))</f>
        <v/>
      </c>
      <c r="O213" s="479">
        <f>IF(K213="","",IF(MONTH(K213)&lt;=6,1,2))</f>
        <v/>
      </c>
      <c r="P213" s="480">
        <f>IF(B213&lt;&gt;"Actif",0,H213*J213)</f>
        <v/>
      </c>
      <c r="Q213" s="480">
        <f>IF(B213&lt;&gt;"Actif",0,H213*I213)</f>
        <v/>
      </c>
      <c r="R213" s="480">
        <f>IF(B213&lt;&gt;"Actif",0,H213*I213*J213)</f>
        <v/>
      </c>
      <c r="S213" s="479" t="n"/>
    </row>
    <row r="214">
      <c r="A214" s="479">
        <f>IF(C214="","",ROW()-4)</f>
        <v/>
      </c>
      <c r="B214" s="479" t="n"/>
      <c r="C214" s="479" t="n"/>
      <c r="D214" s="479" t="n"/>
      <c r="E214" s="479" t="n"/>
      <c r="F214" s="479" t="n"/>
      <c r="G214" s="479" t="n"/>
      <c r="H214" s="480" t="n"/>
      <c r="I214" s="554" t="n"/>
      <c r="J214" s="554" t="n"/>
      <c r="K214" s="555" t="n"/>
      <c r="L214" s="555" t="n"/>
      <c r="M214" s="479">
        <f>IF(K214="","",YEAR(K214))</f>
        <v/>
      </c>
      <c r="N214" s="479">
        <f>IF(K214="","",ROUNDUP(MONTH(K214)/3,0))</f>
        <v/>
      </c>
      <c r="O214" s="479">
        <f>IF(K214="","",IF(MONTH(K214)&lt;=6,1,2))</f>
        <v/>
      </c>
      <c r="P214" s="480">
        <f>IF(B214&lt;&gt;"Actif",0,H214*J214)</f>
        <v/>
      </c>
      <c r="Q214" s="480">
        <f>IF(B214&lt;&gt;"Actif",0,H214*I214)</f>
        <v/>
      </c>
      <c r="R214" s="480">
        <f>IF(B214&lt;&gt;"Actif",0,H214*I214*J214)</f>
        <v/>
      </c>
      <c r="S214" s="479" t="n"/>
    </row>
    <row r="215">
      <c r="A215" s="479">
        <f>IF(C215="","",ROW()-4)</f>
        <v/>
      </c>
      <c r="B215" s="479" t="n"/>
      <c r="C215" s="479" t="n"/>
      <c r="D215" s="479" t="n"/>
      <c r="E215" s="479" t="n"/>
      <c r="F215" s="479" t="n"/>
      <c r="G215" s="479" t="n"/>
      <c r="H215" s="480" t="n"/>
      <c r="I215" s="554" t="n"/>
      <c r="J215" s="554" t="n"/>
      <c r="K215" s="555" t="n"/>
      <c r="L215" s="555" t="n"/>
      <c r="M215" s="479">
        <f>IF(K215="","",YEAR(K215))</f>
        <v/>
      </c>
      <c r="N215" s="479">
        <f>IF(K215="","",ROUNDUP(MONTH(K215)/3,0))</f>
        <v/>
      </c>
      <c r="O215" s="479">
        <f>IF(K215="","",IF(MONTH(K215)&lt;=6,1,2))</f>
        <v/>
      </c>
      <c r="P215" s="480">
        <f>IF(B215&lt;&gt;"Actif",0,H215*J215)</f>
        <v/>
      </c>
      <c r="Q215" s="480">
        <f>IF(B215&lt;&gt;"Actif",0,H215*I215)</f>
        <v/>
      </c>
      <c r="R215" s="480">
        <f>IF(B215&lt;&gt;"Actif",0,H215*I215*J215)</f>
        <v/>
      </c>
      <c r="S215" s="479" t="n"/>
    </row>
    <row r="216">
      <c r="A216" s="479">
        <f>IF(C216="","",ROW()-4)</f>
        <v/>
      </c>
      <c r="B216" s="479" t="n"/>
      <c r="C216" s="479" t="n"/>
      <c r="D216" s="479" t="n"/>
      <c r="E216" s="479" t="n"/>
      <c r="F216" s="479" t="n"/>
      <c r="G216" s="479" t="n"/>
      <c r="H216" s="480" t="n"/>
      <c r="I216" s="554" t="n"/>
      <c r="J216" s="554" t="n"/>
      <c r="K216" s="555" t="n"/>
      <c r="L216" s="555" t="n"/>
      <c r="M216" s="479">
        <f>IF(K216="","",YEAR(K216))</f>
        <v/>
      </c>
      <c r="N216" s="479">
        <f>IF(K216="","",ROUNDUP(MONTH(K216)/3,0))</f>
        <v/>
      </c>
      <c r="O216" s="479">
        <f>IF(K216="","",IF(MONTH(K216)&lt;=6,1,2))</f>
        <v/>
      </c>
      <c r="P216" s="480">
        <f>IF(B216&lt;&gt;"Actif",0,H216*J216)</f>
        <v/>
      </c>
      <c r="Q216" s="480">
        <f>IF(B216&lt;&gt;"Actif",0,H216*I216)</f>
        <v/>
      </c>
      <c r="R216" s="480">
        <f>IF(B216&lt;&gt;"Actif",0,H216*I216*J216)</f>
        <v/>
      </c>
      <c r="S216" s="479" t="n"/>
    </row>
    <row r="217">
      <c r="A217" s="479">
        <f>IF(C217="","",ROW()-4)</f>
        <v/>
      </c>
      <c r="B217" s="479" t="n"/>
      <c r="C217" s="479" t="n"/>
      <c r="D217" s="479" t="n"/>
      <c r="E217" s="479" t="n"/>
      <c r="F217" s="479" t="n"/>
      <c r="G217" s="479" t="n"/>
      <c r="H217" s="480" t="n"/>
      <c r="I217" s="554" t="n"/>
      <c r="J217" s="554" t="n"/>
      <c r="K217" s="555" t="n"/>
      <c r="L217" s="555" t="n"/>
      <c r="M217" s="479">
        <f>IF(K217="","",YEAR(K217))</f>
        <v/>
      </c>
      <c r="N217" s="479">
        <f>IF(K217="","",ROUNDUP(MONTH(K217)/3,0))</f>
        <v/>
      </c>
      <c r="O217" s="479">
        <f>IF(K217="","",IF(MONTH(K217)&lt;=6,1,2))</f>
        <v/>
      </c>
      <c r="P217" s="480">
        <f>IF(B217&lt;&gt;"Actif",0,H217*J217)</f>
        <v/>
      </c>
      <c r="Q217" s="480">
        <f>IF(B217&lt;&gt;"Actif",0,H217*I217)</f>
        <v/>
      </c>
      <c r="R217" s="480">
        <f>IF(B217&lt;&gt;"Actif",0,H217*I217*J217)</f>
        <v/>
      </c>
      <c r="S217" s="479" t="n"/>
    </row>
    <row r="218">
      <c r="A218" s="479">
        <f>IF(C218="","",ROW()-4)</f>
        <v/>
      </c>
      <c r="B218" s="479" t="n"/>
      <c r="C218" s="479" t="n"/>
      <c r="D218" s="479" t="n"/>
      <c r="E218" s="479" t="n"/>
      <c r="F218" s="479" t="n"/>
      <c r="G218" s="479" t="n"/>
      <c r="H218" s="480" t="n"/>
      <c r="I218" s="554" t="n"/>
      <c r="J218" s="554" t="n"/>
      <c r="K218" s="555" t="n"/>
      <c r="L218" s="555" t="n"/>
      <c r="M218" s="479">
        <f>IF(K218="","",YEAR(K218))</f>
        <v/>
      </c>
      <c r="N218" s="479">
        <f>IF(K218="","",ROUNDUP(MONTH(K218)/3,0))</f>
        <v/>
      </c>
      <c r="O218" s="479">
        <f>IF(K218="","",IF(MONTH(K218)&lt;=6,1,2))</f>
        <v/>
      </c>
      <c r="P218" s="480">
        <f>IF(B218&lt;&gt;"Actif",0,H218*J218)</f>
        <v/>
      </c>
      <c r="Q218" s="480">
        <f>IF(B218&lt;&gt;"Actif",0,H218*I218)</f>
        <v/>
      </c>
      <c r="R218" s="480">
        <f>IF(B218&lt;&gt;"Actif",0,H218*I218*J218)</f>
        <v/>
      </c>
      <c r="S218" s="479" t="n"/>
    </row>
    <row r="219">
      <c r="A219" s="479">
        <f>IF(C219="","",ROW()-4)</f>
        <v/>
      </c>
      <c r="B219" s="479" t="n"/>
      <c r="C219" s="479" t="n"/>
      <c r="D219" s="479" t="n"/>
      <c r="E219" s="479" t="n"/>
      <c r="F219" s="479" t="n"/>
      <c r="G219" s="479" t="n"/>
      <c r="H219" s="480" t="n"/>
      <c r="I219" s="554" t="n"/>
      <c r="J219" s="554" t="n"/>
      <c r="K219" s="555" t="n"/>
      <c r="L219" s="555" t="n"/>
      <c r="M219" s="479">
        <f>IF(K219="","",YEAR(K219))</f>
        <v/>
      </c>
      <c r="N219" s="479">
        <f>IF(K219="","",ROUNDUP(MONTH(K219)/3,0))</f>
        <v/>
      </c>
      <c r="O219" s="479">
        <f>IF(K219="","",IF(MONTH(K219)&lt;=6,1,2))</f>
        <v/>
      </c>
      <c r="P219" s="480">
        <f>IF(B219&lt;&gt;"Actif",0,H219*J219)</f>
        <v/>
      </c>
      <c r="Q219" s="480">
        <f>IF(B219&lt;&gt;"Actif",0,H219*I219)</f>
        <v/>
      </c>
      <c r="R219" s="480">
        <f>IF(B219&lt;&gt;"Actif",0,H219*I219*J219)</f>
        <v/>
      </c>
      <c r="S219" s="479" t="n"/>
    </row>
    <row r="220">
      <c r="A220" s="479">
        <f>IF(C220="","",ROW()-4)</f>
        <v/>
      </c>
      <c r="B220" s="479" t="n"/>
      <c r="C220" s="479" t="n"/>
      <c r="D220" s="479" t="n"/>
      <c r="E220" s="479" t="n"/>
      <c r="F220" s="479" t="n"/>
      <c r="G220" s="479" t="n"/>
      <c r="H220" s="480" t="n"/>
      <c r="I220" s="554" t="n"/>
      <c r="J220" s="554" t="n"/>
      <c r="K220" s="555" t="n"/>
      <c r="L220" s="555" t="n"/>
      <c r="M220" s="479">
        <f>IF(K220="","",YEAR(K220))</f>
        <v/>
      </c>
      <c r="N220" s="479">
        <f>IF(K220="","",ROUNDUP(MONTH(K220)/3,0))</f>
        <v/>
      </c>
      <c r="O220" s="479">
        <f>IF(K220="","",IF(MONTH(K220)&lt;=6,1,2))</f>
        <v/>
      </c>
      <c r="P220" s="480">
        <f>IF(B220&lt;&gt;"Actif",0,H220*J220)</f>
        <v/>
      </c>
      <c r="Q220" s="480">
        <f>IF(B220&lt;&gt;"Actif",0,H220*I220)</f>
        <v/>
      </c>
      <c r="R220" s="480">
        <f>IF(B220&lt;&gt;"Actif",0,H220*I220*J220)</f>
        <v/>
      </c>
      <c r="S220" s="479" t="n"/>
    </row>
    <row r="221">
      <c r="A221" s="479">
        <f>IF(C221="","",ROW()-4)</f>
        <v/>
      </c>
      <c r="B221" s="479" t="n"/>
      <c r="C221" s="479" t="n"/>
      <c r="D221" s="479" t="n"/>
      <c r="E221" s="479" t="n"/>
      <c r="F221" s="479" t="n"/>
      <c r="G221" s="479" t="n"/>
      <c r="H221" s="480" t="n"/>
      <c r="I221" s="554" t="n"/>
      <c r="J221" s="554" t="n"/>
      <c r="K221" s="555" t="n"/>
      <c r="L221" s="555" t="n"/>
      <c r="M221" s="479">
        <f>IF(K221="","",YEAR(K221))</f>
        <v/>
      </c>
      <c r="N221" s="479">
        <f>IF(K221="","",ROUNDUP(MONTH(K221)/3,0))</f>
        <v/>
      </c>
      <c r="O221" s="479">
        <f>IF(K221="","",IF(MONTH(K221)&lt;=6,1,2))</f>
        <v/>
      </c>
      <c r="P221" s="480">
        <f>IF(B221&lt;&gt;"Actif",0,H221*J221)</f>
        <v/>
      </c>
      <c r="Q221" s="480">
        <f>IF(B221&lt;&gt;"Actif",0,H221*I221)</f>
        <v/>
      </c>
      <c r="R221" s="480">
        <f>IF(B221&lt;&gt;"Actif",0,H221*I221*J221)</f>
        <v/>
      </c>
      <c r="S221" s="479" t="n"/>
    </row>
    <row r="222">
      <c r="A222" s="479">
        <f>IF(C222="","",ROW()-4)</f>
        <v/>
      </c>
      <c r="B222" s="479" t="n"/>
      <c r="C222" s="479" t="n"/>
      <c r="D222" s="479" t="n"/>
      <c r="E222" s="479" t="n"/>
      <c r="F222" s="479" t="n"/>
      <c r="G222" s="479" t="n"/>
      <c r="H222" s="480" t="n"/>
      <c r="I222" s="554" t="n"/>
      <c r="J222" s="554" t="n"/>
      <c r="K222" s="555" t="n"/>
      <c r="L222" s="555" t="n"/>
      <c r="M222" s="479">
        <f>IF(K222="","",YEAR(K222))</f>
        <v/>
      </c>
      <c r="N222" s="479">
        <f>IF(K222="","",ROUNDUP(MONTH(K222)/3,0))</f>
        <v/>
      </c>
      <c r="O222" s="479">
        <f>IF(K222="","",IF(MONTH(K222)&lt;=6,1,2))</f>
        <v/>
      </c>
      <c r="P222" s="480">
        <f>IF(B222&lt;&gt;"Actif",0,H222*J222)</f>
        <v/>
      </c>
      <c r="Q222" s="480">
        <f>IF(B222&lt;&gt;"Actif",0,H222*I222)</f>
        <v/>
      </c>
      <c r="R222" s="480">
        <f>IF(B222&lt;&gt;"Actif",0,H222*I222*J222)</f>
        <v/>
      </c>
      <c r="S222" s="479" t="n"/>
    </row>
    <row r="223">
      <c r="A223" s="479">
        <f>IF(C223="","",ROW()-4)</f>
        <v/>
      </c>
      <c r="B223" s="479" t="n"/>
      <c r="C223" s="479" t="n"/>
      <c r="D223" s="479" t="n"/>
      <c r="E223" s="479" t="n"/>
      <c r="F223" s="479" t="n"/>
      <c r="G223" s="479" t="n"/>
      <c r="H223" s="480" t="n"/>
      <c r="I223" s="554" t="n"/>
      <c r="J223" s="554" t="n"/>
      <c r="K223" s="555" t="n"/>
      <c r="L223" s="555" t="n"/>
      <c r="M223" s="479">
        <f>IF(K223="","",YEAR(K223))</f>
        <v/>
      </c>
      <c r="N223" s="479">
        <f>IF(K223="","",ROUNDUP(MONTH(K223)/3,0))</f>
        <v/>
      </c>
      <c r="O223" s="479">
        <f>IF(K223="","",IF(MONTH(K223)&lt;=6,1,2))</f>
        <v/>
      </c>
      <c r="P223" s="480">
        <f>IF(B223&lt;&gt;"Actif",0,H223*J223)</f>
        <v/>
      </c>
      <c r="Q223" s="480">
        <f>IF(B223&lt;&gt;"Actif",0,H223*I223)</f>
        <v/>
      </c>
      <c r="R223" s="480">
        <f>IF(B223&lt;&gt;"Actif",0,H223*I223*J223)</f>
        <v/>
      </c>
      <c r="S223" s="479" t="n"/>
    </row>
    <row r="224">
      <c r="A224" s="479">
        <f>IF(C224="","",ROW()-4)</f>
        <v/>
      </c>
      <c r="B224" s="479" t="n"/>
      <c r="C224" s="479" t="n"/>
      <c r="D224" s="479" t="n"/>
      <c r="E224" s="479" t="n"/>
      <c r="F224" s="479" t="n"/>
      <c r="G224" s="479" t="n"/>
      <c r="H224" s="480" t="n"/>
      <c r="I224" s="554" t="n"/>
      <c r="J224" s="554" t="n"/>
      <c r="K224" s="555" t="n"/>
      <c r="L224" s="555" t="n"/>
      <c r="M224" s="479">
        <f>IF(K224="","",YEAR(K224))</f>
        <v/>
      </c>
      <c r="N224" s="479">
        <f>IF(K224="","",ROUNDUP(MONTH(K224)/3,0))</f>
        <v/>
      </c>
      <c r="O224" s="479">
        <f>IF(K224="","",IF(MONTH(K224)&lt;=6,1,2))</f>
        <v/>
      </c>
      <c r="P224" s="480">
        <f>IF(B224&lt;&gt;"Actif",0,H224*J224)</f>
        <v/>
      </c>
      <c r="Q224" s="480">
        <f>IF(B224&lt;&gt;"Actif",0,H224*I224)</f>
        <v/>
      </c>
      <c r="R224" s="480">
        <f>IF(B224&lt;&gt;"Actif",0,H224*I224*J224)</f>
        <v/>
      </c>
      <c r="S224" s="479" t="n"/>
    </row>
    <row r="225">
      <c r="A225" s="479">
        <f>IF(C225="","",ROW()-4)</f>
        <v/>
      </c>
      <c r="B225" s="479" t="n"/>
      <c r="C225" s="479" t="n"/>
      <c r="D225" s="479" t="n"/>
      <c r="E225" s="479" t="n"/>
      <c r="F225" s="479" t="n"/>
      <c r="G225" s="479" t="n"/>
      <c r="H225" s="480" t="n"/>
      <c r="I225" s="554" t="n"/>
      <c r="J225" s="554" t="n"/>
      <c r="K225" s="555" t="n"/>
      <c r="L225" s="555" t="n"/>
      <c r="M225" s="479">
        <f>IF(K225="","",YEAR(K225))</f>
        <v/>
      </c>
      <c r="N225" s="479">
        <f>IF(K225="","",ROUNDUP(MONTH(K225)/3,0))</f>
        <v/>
      </c>
      <c r="O225" s="479">
        <f>IF(K225="","",IF(MONTH(K225)&lt;=6,1,2))</f>
        <v/>
      </c>
      <c r="P225" s="480">
        <f>IF(B225&lt;&gt;"Actif",0,H225*J225)</f>
        <v/>
      </c>
      <c r="Q225" s="480">
        <f>IF(B225&lt;&gt;"Actif",0,H225*I225)</f>
        <v/>
      </c>
      <c r="R225" s="480">
        <f>IF(B225&lt;&gt;"Actif",0,H225*I225*J225)</f>
        <v/>
      </c>
      <c r="S225" s="479" t="n"/>
    </row>
    <row r="226">
      <c r="A226" s="479">
        <f>IF(C226="","",ROW()-4)</f>
        <v/>
      </c>
      <c r="B226" s="479" t="n"/>
      <c r="C226" s="479" t="n"/>
      <c r="D226" s="479" t="n"/>
      <c r="E226" s="479" t="n"/>
      <c r="F226" s="479" t="n"/>
      <c r="G226" s="479" t="n"/>
      <c r="H226" s="480" t="n"/>
      <c r="I226" s="554" t="n"/>
      <c r="J226" s="554" t="n"/>
      <c r="K226" s="555" t="n"/>
      <c r="L226" s="555" t="n"/>
      <c r="M226" s="479">
        <f>IF(K226="","",YEAR(K226))</f>
        <v/>
      </c>
      <c r="N226" s="479">
        <f>IF(K226="","",ROUNDUP(MONTH(K226)/3,0))</f>
        <v/>
      </c>
      <c r="O226" s="479">
        <f>IF(K226="","",IF(MONTH(K226)&lt;=6,1,2))</f>
        <v/>
      </c>
      <c r="P226" s="480">
        <f>IF(B226&lt;&gt;"Actif",0,H226*J226)</f>
        <v/>
      </c>
      <c r="Q226" s="480">
        <f>IF(B226&lt;&gt;"Actif",0,H226*I226)</f>
        <v/>
      </c>
      <c r="R226" s="480">
        <f>IF(B226&lt;&gt;"Actif",0,H226*I226*J226)</f>
        <v/>
      </c>
      <c r="S226" s="479" t="n"/>
    </row>
    <row r="227">
      <c r="A227" s="479">
        <f>IF(C227="","",ROW()-4)</f>
        <v/>
      </c>
      <c r="B227" s="479" t="n"/>
      <c r="C227" s="479" t="n"/>
      <c r="D227" s="479" t="n"/>
      <c r="E227" s="479" t="n"/>
      <c r="F227" s="479" t="n"/>
      <c r="G227" s="479" t="n"/>
      <c r="H227" s="480" t="n"/>
      <c r="I227" s="554" t="n"/>
      <c r="J227" s="554" t="n"/>
      <c r="K227" s="555" t="n"/>
      <c r="L227" s="555" t="n"/>
      <c r="M227" s="479">
        <f>IF(K227="","",YEAR(K227))</f>
        <v/>
      </c>
      <c r="N227" s="479">
        <f>IF(K227="","",ROUNDUP(MONTH(K227)/3,0))</f>
        <v/>
      </c>
      <c r="O227" s="479">
        <f>IF(K227="","",IF(MONTH(K227)&lt;=6,1,2))</f>
        <v/>
      </c>
      <c r="P227" s="480">
        <f>IF(B227&lt;&gt;"Actif",0,H227*J227)</f>
        <v/>
      </c>
      <c r="Q227" s="480">
        <f>IF(B227&lt;&gt;"Actif",0,H227*I227)</f>
        <v/>
      </c>
      <c r="R227" s="480">
        <f>IF(B227&lt;&gt;"Actif",0,H227*I227*J227)</f>
        <v/>
      </c>
      <c r="S227" s="479" t="n"/>
    </row>
    <row r="228">
      <c r="A228" s="479">
        <f>IF(C228="","",ROW()-4)</f>
        <v/>
      </c>
      <c r="B228" s="479" t="n"/>
      <c r="C228" s="479" t="n"/>
      <c r="D228" s="479" t="n"/>
      <c r="E228" s="479" t="n"/>
      <c r="F228" s="479" t="n"/>
      <c r="G228" s="479" t="n"/>
      <c r="H228" s="480" t="n"/>
      <c r="I228" s="554" t="n"/>
      <c r="J228" s="554" t="n"/>
      <c r="K228" s="555" t="n"/>
      <c r="L228" s="555" t="n"/>
      <c r="M228" s="479">
        <f>IF(K228="","",YEAR(K228))</f>
        <v/>
      </c>
      <c r="N228" s="479">
        <f>IF(K228="","",ROUNDUP(MONTH(K228)/3,0))</f>
        <v/>
      </c>
      <c r="O228" s="479">
        <f>IF(K228="","",IF(MONTH(K228)&lt;=6,1,2))</f>
        <v/>
      </c>
      <c r="P228" s="480">
        <f>IF(B228&lt;&gt;"Actif",0,H228*J228)</f>
        <v/>
      </c>
      <c r="Q228" s="480">
        <f>IF(B228&lt;&gt;"Actif",0,H228*I228)</f>
        <v/>
      </c>
      <c r="R228" s="480">
        <f>IF(B228&lt;&gt;"Actif",0,H228*I228*J228)</f>
        <v/>
      </c>
      <c r="S228" s="479" t="n"/>
    </row>
    <row r="229">
      <c r="A229" s="479">
        <f>IF(C229="","",ROW()-4)</f>
        <v/>
      </c>
      <c r="B229" s="479" t="n"/>
      <c r="C229" s="479" t="n"/>
      <c r="D229" s="479" t="n"/>
      <c r="E229" s="479" t="n"/>
      <c r="F229" s="479" t="n"/>
      <c r="G229" s="479" t="n"/>
      <c r="H229" s="480" t="n"/>
      <c r="I229" s="554" t="n"/>
      <c r="J229" s="554" t="n"/>
      <c r="K229" s="555" t="n"/>
      <c r="L229" s="555" t="n"/>
      <c r="M229" s="479">
        <f>IF(K229="","",YEAR(K229))</f>
        <v/>
      </c>
      <c r="N229" s="479">
        <f>IF(K229="","",ROUNDUP(MONTH(K229)/3,0))</f>
        <v/>
      </c>
      <c r="O229" s="479">
        <f>IF(K229="","",IF(MONTH(K229)&lt;=6,1,2))</f>
        <v/>
      </c>
      <c r="P229" s="480">
        <f>IF(B229&lt;&gt;"Actif",0,H229*J229)</f>
        <v/>
      </c>
      <c r="Q229" s="480">
        <f>IF(B229&lt;&gt;"Actif",0,H229*I229)</f>
        <v/>
      </c>
      <c r="R229" s="480">
        <f>IF(B229&lt;&gt;"Actif",0,H229*I229*J229)</f>
        <v/>
      </c>
      <c r="S229" s="479" t="n"/>
    </row>
    <row r="230">
      <c r="A230" s="479">
        <f>IF(C230="","",ROW()-4)</f>
        <v/>
      </c>
      <c r="B230" s="479" t="n"/>
      <c r="C230" s="479" t="n"/>
      <c r="D230" s="479" t="n"/>
      <c r="E230" s="479" t="n"/>
      <c r="F230" s="479" t="n"/>
      <c r="G230" s="479" t="n"/>
      <c r="H230" s="480" t="n"/>
      <c r="I230" s="554" t="n"/>
      <c r="J230" s="554" t="n"/>
      <c r="K230" s="555" t="n"/>
      <c r="L230" s="555" t="n"/>
      <c r="M230" s="479">
        <f>IF(K230="","",YEAR(K230))</f>
        <v/>
      </c>
      <c r="N230" s="479">
        <f>IF(K230="","",ROUNDUP(MONTH(K230)/3,0))</f>
        <v/>
      </c>
      <c r="O230" s="479">
        <f>IF(K230="","",IF(MONTH(K230)&lt;=6,1,2))</f>
        <v/>
      </c>
      <c r="P230" s="480">
        <f>IF(B230&lt;&gt;"Actif",0,H230*J230)</f>
        <v/>
      </c>
      <c r="Q230" s="480">
        <f>IF(B230&lt;&gt;"Actif",0,H230*I230)</f>
        <v/>
      </c>
      <c r="R230" s="480">
        <f>IF(B230&lt;&gt;"Actif",0,H230*I230*J230)</f>
        <v/>
      </c>
      <c r="S230" s="479" t="n"/>
    </row>
    <row r="231">
      <c r="A231" s="479">
        <f>IF(C231="","",ROW()-4)</f>
        <v/>
      </c>
      <c r="B231" s="479" t="n"/>
      <c r="C231" s="479" t="n"/>
      <c r="D231" s="479" t="n"/>
      <c r="E231" s="479" t="n"/>
      <c r="F231" s="479" t="n"/>
      <c r="G231" s="479" t="n"/>
      <c r="H231" s="480" t="n"/>
      <c r="I231" s="554" t="n"/>
      <c r="J231" s="554" t="n"/>
      <c r="K231" s="555" t="n"/>
      <c r="L231" s="555" t="n"/>
      <c r="M231" s="479">
        <f>IF(K231="","",YEAR(K231))</f>
        <v/>
      </c>
      <c r="N231" s="479">
        <f>IF(K231="","",ROUNDUP(MONTH(K231)/3,0))</f>
        <v/>
      </c>
      <c r="O231" s="479">
        <f>IF(K231="","",IF(MONTH(K231)&lt;=6,1,2))</f>
        <v/>
      </c>
      <c r="P231" s="480">
        <f>IF(B231&lt;&gt;"Actif",0,H231*J231)</f>
        <v/>
      </c>
      <c r="Q231" s="480">
        <f>IF(B231&lt;&gt;"Actif",0,H231*I231)</f>
        <v/>
      </c>
      <c r="R231" s="480">
        <f>IF(B231&lt;&gt;"Actif",0,H231*I231*J231)</f>
        <v/>
      </c>
      <c r="S231" s="479" t="n"/>
    </row>
    <row r="232">
      <c r="A232" s="479">
        <f>IF(C232="","",ROW()-4)</f>
        <v/>
      </c>
      <c r="B232" s="479" t="n"/>
      <c r="C232" s="479" t="n"/>
      <c r="D232" s="479" t="n"/>
      <c r="E232" s="479" t="n"/>
      <c r="F232" s="479" t="n"/>
      <c r="G232" s="479" t="n"/>
      <c r="H232" s="480" t="n"/>
      <c r="I232" s="554" t="n"/>
      <c r="J232" s="554" t="n"/>
      <c r="K232" s="555" t="n"/>
      <c r="L232" s="555" t="n"/>
      <c r="M232" s="479">
        <f>IF(K232="","",YEAR(K232))</f>
        <v/>
      </c>
      <c r="N232" s="479">
        <f>IF(K232="","",ROUNDUP(MONTH(K232)/3,0))</f>
        <v/>
      </c>
      <c r="O232" s="479">
        <f>IF(K232="","",IF(MONTH(K232)&lt;=6,1,2))</f>
        <v/>
      </c>
      <c r="P232" s="480">
        <f>IF(B232&lt;&gt;"Actif",0,H232*J232)</f>
        <v/>
      </c>
      <c r="Q232" s="480">
        <f>IF(B232&lt;&gt;"Actif",0,H232*I232)</f>
        <v/>
      </c>
      <c r="R232" s="480">
        <f>IF(B232&lt;&gt;"Actif",0,H232*I232*J232)</f>
        <v/>
      </c>
      <c r="S232" s="479" t="n"/>
    </row>
    <row r="233">
      <c r="A233" s="479">
        <f>IF(C233="","",ROW()-4)</f>
        <v/>
      </c>
      <c r="B233" s="479" t="n"/>
      <c r="C233" s="479" t="n"/>
      <c r="D233" s="479" t="n"/>
      <c r="E233" s="479" t="n"/>
      <c r="F233" s="479" t="n"/>
      <c r="G233" s="479" t="n"/>
      <c r="H233" s="480" t="n"/>
      <c r="I233" s="554" t="n"/>
      <c r="J233" s="554" t="n"/>
      <c r="K233" s="555" t="n"/>
      <c r="L233" s="555" t="n"/>
      <c r="M233" s="479">
        <f>IF(K233="","",YEAR(K233))</f>
        <v/>
      </c>
      <c r="N233" s="479">
        <f>IF(K233="","",ROUNDUP(MONTH(K233)/3,0))</f>
        <v/>
      </c>
      <c r="O233" s="479">
        <f>IF(K233="","",IF(MONTH(K233)&lt;=6,1,2))</f>
        <v/>
      </c>
      <c r="P233" s="480">
        <f>IF(B233&lt;&gt;"Actif",0,H233*J233)</f>
        <v/>
      </c>
      <c r="Q233" s="480">
        <f>IF(B233&lt;&gt;"Actif",0,H233*I233)</f>
        <v/>
      </c>
      <c r="R233" s="480">
        <f>IF(B233&lt;&gt;"Actif",0,H233*I233*J233)</f>
        <v/>
      </c>
      <c r="S233" s="479" t="n"/>
    </row>
    <row r="234">
      <c r="A234" s="479">
        <f>IF(C234="","",ROW()-4)</f>
        <v/>
      </c>
      <c r="B234" s="479" t="n"/>
      <c r="C234" s="479" t="n"/>
      <c r="D234" s="479" t="n"/>
      <c r="E234" s="479" t="n"/>
      <c r="F234" s="479" t="n"/>
      <c r="G234" s="479" t="n"/>
      <c r="H234" s="480" t="n"/>
      <c r="I234" s="554" t="n"/>
      <c r="J234" s="554" t="n"/>
      <c r="K234" s="555" t="n"/>
      <c r="L234" s="555" t="n"/>
      <c r="M234" s="479">
        <f>IF(K234="","",YEAR(K234))</f>
        <v/>
      </c>
      <c r="N234" s="479">
        <f>IF(K234="","",ROUNDUP(MONTH(K234)/3,0))</f>
        <v/>
      </c>
      <c r="O234" s="479">
        <f>IF(K234="","",IF(MONTH(K234)&lt;=6,1,2))</f>
        <v/>
      </c>
      <c r="P234" s="480">
        <f>IF(B234&lt;&gt;"Actif",0,H234*J234)</f>
        <v/>
      </c>
      <c r="Q234" s="480">
        <f>IF(B234&lt;&gt;"Actif",0,H234*I234)</f>
        <v/>
      </c>
      <c r="R234" s="480">
        <f>IF(B234&lt;&gt;"Actif",0,H234*I234*J234)</f>
        <v/>
      </c>
      <c r="S234" s="479" t="n"/>
    </row>
    <row r="235">
      <c r="A235" s="479">
        <f>IF(C235="","",ROW()-4)</f>
        <v/>
      </c>
      <c r="B235" s="479" t="n"/>
      <c r="C235" s="479" t="n"/>
      <c r="D235" s="479" t="n"/>
      <c r="E235" s="479" t="n"/>
      <c r="F235" s="479" t="n"/>
      <c r="G235" s="479" t="n"/>
      <c r="H235" s="480" t="n"/>
      <c r="I235" s="554" t="n"/>
      <c r="J235" s="554" t="n"/>
      <c r="K235" s="555" t="n"/>
      <c r="L235" s="555" t="n"/>
      <c r="M235" s="479">
        <f>IF(K235="","",YEAR(K235))</f>
        <v/>
      </c>
      <c r="N235" s="479">
        <f>IF(K235="","",ROUNDUP(MONTH(K235)/3,0))</f>
        <v/>
      </c>
      <c r="O235" s="479">
        <f>IF(K235="","",IF(MONTH(K235)&lt;=6,1,2))</f>
        <v/>
      </c>
      <c r="P235" s="480">
        <f>IF(B235&lt;&gt;"Actif",0,H235*J235)</f>
        <v/>
      </c>
      <c r="Q235" s="480">
        <f>IF(B235&lt;&gt;"Actif",0,H235*I235)</f>
        <v/>
      </c>
      <c r="R235" s="480">
        <f>IF(B235&lt;&gt;"Actif",0,H235*I235*J235)</f>
        <v/>
      </c>
      <c r="S235" s="479" t="n"/>
    </row>
    <row r="236">
      <c r="A236" s="479">
        <f>IF(C236="","",ROW()-4)</f>
        <v/>
      </c>
      <c r="B236" s="479" t="n"/>
      <c r="C236" s="479" t="n"/>
      <c r="D236" s="479" t="n"/>
      <c r="E236" s="479" t="n"/>
      <c r="F236" s="479" t="n"/>
      <c r="G236" s="479" t="n"/>
      <c r="H236" s="480" t="n"/>
      <c r="I236" s="554" t="n"/>
      <c r="J236" s="554" t="n"/>
      <c r="K236" s="555" t="n"/>
      <c r="L236" s="555" t="n"/>
      <c r="M236" s="479">
        <f>IF(K236="","",YEAR(K236))</f>
        <v/>
      </c>
      <c r="N236" s="479">
        <f>IF(K236="","",ROUNDUP(MONTH(K236)/3,0))</f>
        <v/>
      </c>
      <c r="O236" s="479">
        <f>IF(K236="","",IF(MONTH(K236)&lt;=6,1,2))</f>
        <v/>
      </c>
      <c r="P236" s="480">
        <f>IF(B236&lt;&gt;"Actif",0,H236*J236)</f>
        <v/>
      </c>
      <c r="Q236" s="480">
        <f>IF(B236&lt;&gt;"Actif",0,H236*I236)</f>
        <v/>
      </c>
      <c r="R236" s="480">
        <f>IF(B236&lt;&gt;"Actif",0,H236*I236*J236)</f>
        <v/>
      </c>
      <c r="S236" s="479" t="n"/>
    </row>
    <row r="237">
      <c r="A237" s="479">
        <f>IF(C237="","",ROW()-4)</f>
        <v/>
      </c>
      <c r="B237" s="479" t="n"/>
      <c r="C237" s="479" t="n"/>
      <c r="D237" s="479" t="n"/>
      <c r="E237" s="479" t="n"/>
      <c r="F237" s="479" t="n"/>
      <c r="G237" s="479" t="n"/>
      <c r="H237" s="480" t="n"/>
      <c r="I237" s="554" t="n"/>
      <c r="J237" s="554" t="n"/>
      <c r="K237" s="555" t="n"/>
      <c r="L237" s="555" t="n"/>
      <c r="M237" s="479">
        <f>IF(K237="","",YEAR(K237))</f>
        <v/>
      </c>
      <c r="N237" s="479">
        <f>IF(K237="","",ROUNDUP(MONTH(K237)/3,0))</f>
        <v/>
      </c>
      <c r="O237" s="479">
        <f>IF(K237="","",IF(MONTH(K237)&lt;=6,1,2))</f>
        <v/>
      </c>
      <c r="P237" s="480">
        <f>IF(B237&lt;&gt;"Actif",0,H237*J237)</f>
        <v/>
      </c>
      <c r="Q237" s="480">
        <f>IF(B237&lt;&gt;"Actif",0,H237*I237)</f>
        <v/>
      </c>
      <c r="R237" s="480">
        <f>IF(B237&lt;&gt;"Actif",0,H237*I237*J237)</f>
        <v/>
      </c>
      <c r="S237" s="479" t="n"/>
    </row>
    <row r="238">
      <c r="A238" s="479">
        <f>IF(C238="","",ROW()-4)</f>
        <v/>
      </c>
      <c r="B238" s="479" t="n"/>
      <c r="C238" s="479" t="n"/>
      <c r="D238" s="479" t="n"/>
      <c r="E238" s="479" t="n"/>
      <c r="F238" s="479" t="n"/>
      <c r="G238" s="479" t="n"/>
      <c r="H238" s="480" t="n"/>
      <c r="I238" s="554" t="n"/>
      <c r="J238" s="554" t="n"/>
      <c r="K238" s="555" t="n"/>
      <c r="L238" s="555" t="n"/>
      <c r="M238" s="479">
        <f>IF(K238="","",YEAR(K238))</f>
        <v/>
      </c>
      <c r="N238" s="479">
        <f>IF(K238="","",ROUNDUP(MONTH(K238)/3,0))</f>
        <v/>
      </c>
      <c r="O238" s="479">
        <f>IF(K238="","",IF(MONTH(K238)&lt;=6,1,2))</f>
        <v/>
      </c>
      <c r="P238" s="480">
        <f>IF(B238&lt;&gt;"Actif",0,H238*J238)</f>
        <v/>
      </c>
      <c r="Q238" s="480">
        <f>IF(B238&lt;&gt;"Actif",0,H238*I238)</f>
        <v/>
      </c>
      <c r="R238" s="480">
        <f>IF(B238&lt;&gt;"Actif",0,H238*I238*J238)</f>
        <v/>
      </c>
      <c r="S238" s="479" t="n"/>
    </row>
    <row r="239">
      <c r="A239" s="479">
        <f>IF(C239="","",ROW()-4)</f>
        <v/>
      </c>
      <c r="B239" s="479" t="n"/>
      <c r="C239" s="479" t="n"/>
      <c r="D239" s="479" t="n"/>
      <c r="E239" s="479" t="n"/>
      <c r="F239" s="479" t="n"/>
      <c r="G239" s="479" t="n"/>
      <c r="H239" s="480" t="n"/>
      <c r="I239" s="554" t="n"/>
      <c r="J239" s="554" t="n"/>
      <c r="K239" s="555" t="n"/>
      <c r="L239" s="555" t="n"/>
      <c r="M239" s="479">
        <f>IF(K239="","",YEAR(K239))</f>
        <v/>
      </c>
      <c r="N239" s="479">
        <f>IF(K239="","",ROUNDUP(MONTH(K239)/3,0))</f>
        <v/>
      </c>
      <c r="O239" s="479">
        <f>IF(K239="","",IF(MONTH(K239)&lt;=6,1,2))</f>
        <v/>
      </c>
      <c r="P239" s="480">
        <f>IF(B239&lt;&gt;"Actif",0,H239*J239)</f>
        <v/>
      </c>
      <c r="Q239" s="480">
        <f>IF(B239&lt;&gt;"Actif",0,H239*I239)</f>
        <v/>
      </c>
      <c r="R239" s="480">
        <f>IF(B239&lt;&gt;"Actif",0,H239*I239*J239)</f>
        <v/>
      </c>
      <c r="S239" s="479" t="n"/>
    </row>
    <row r="240">
      <c r="A240" s="479">
        <f>IF(C240="","",ROW()-4)</f>
        <v/>
      </c>
      <c r="B240" s="479" t="n"/>
      <c r="C240" s="479" t="n"/>
      <c r="D240" s="479" t="n"/>
      <c r="E240" s="479" t="n"/>
      <c r="F240" s="479" t="n"/>
      <c r="G240" s="479" t="n"/>
      <c r="H240" s="480" t="n"/>
      <c r="I240" s="554" t="n"/>
      <c r="J240" s="554" t="n"/>
      <c r="K240" s="555" t="n"/>
      <c r="L240" s="555" t="n"/>
      <c r="M240" s="479">
        <f>IF(K240="","",YEAR(K240))</f>
        <v/>
      </c>
      <c r="N240" s="479">
        <f>IF(K240="","",ROUNDUP(MONTH(K240)/3,0))</f>
        <v/>
      </c>
      <c r="O240" s="479">
        <f>IF(K240="","",IF(MONTH(K240)&lt;=6,1,2))</f>
        <v/>
      </c>
      <c r="P240" s="480">
        <f>IF(B240&lt;&gt;"Actif",0,H240*J240)</f>
        <v/>
      </c>
      <c r="Q240" s="480">
        <f>IF(B240&lt;&gt;"Actif",0,H240*I240)</f>
        <v/>
      </c>
      <c r="R240" s="480">
        <f>IF(B240&lt;&gt;"Actif",0,H240*I240*J240)</f>
        <v/>
      </c>
      <c r="S240" s="479" t="n"/>
    </row>
    <row r="241">
      <c r="A241" s="479">
        <f>IF(C241="","",ROW()-4)</f>
        <v/>
      </c>
      <c r="B241" s="479" t="n"/>
      <c r="C241" s="479" t="n"/>
      <c r="D241" s="479" t="n"/>
      <c r="E241" s="479" t="n"/>
      <c r="F241" s="479" t="n"/>
      <c r="G241" s="479" t="n"/>
      <c r="H241" s="480" t="n"/>
      <c r="I241" s="554" t="n"/>
      <c r="J241" s="554" t="n"/>
      <c r="K241" s="555" t="n"/>
      <c r="L241" s="555" t="n"/>
      <c r="M241" s="479">
        <f>IF(K241="","",YEAR(K241))</f>
        <v/>
      </c>
      <c r="N241" s="479">
        <f>IF(K241="","",ROUNDUP(MONTH(K241)/3,0))</f>
        <v/>
      </c>
      <c r="O241" s="479">
        <f>IF(K241="","",IF(MONTH(K241)&lt;=6,1,2))</f>
        <v/>
      </c>
      <c r="P241" s="480">
        <f>IF(B241&lt;&gt;"Actif",0,H241*J241)</f>
        <v/>
      </c>
      <c r="Q241" s="480">
        <f>IF(B241&lt;&gt;"Actif",0,H241*I241)</f>
        <v/>
      </c>
      <c r="R241" s="480">
        <f>IF(B241&lt;&gt;"Actif",0,H241*I241*J241)</f>
        <v/>
      </c>
      <c r="S241" s="479" t="n"/>
    </row>
    <row r="242">
      <c r="A242" s="479">
        <f>IF(C242="","",ROW()-4)</f>
        <v/>
      </c>
      <c r="B242" s="479" t="n"/>
      <c r="C242" s="479" t="n"/>
      <c r="D242" s="479" t="n"/>
      <c r="E242" s="479" t="n"/>
      <c r="F242" s="479" t="n"/>
      <c r="G242" s="479" t="n"/>
      <c r="H242" s="480" t="n"/>
      <c r="I242" s="554" t="n"/>
      <c r="J242" s="554" t="n"/>
      <c r="K242" s="555" t="n"/>
      <c r="L242" s="555" t="n"/>
      <c r="M242" s="479">
        <f>IF(K242="","",YEAR(K242))</f>
        <v/>
      </c>
      <c r="N242" s="479">
        <f>IF(K242="","",ROUNDUP(MONTH(K242)/3,0))</f>
        <v/>
      </c>
      <c r="O242" s="479">
        <f>IF(K242="","",IF(MONTH(K242)&lt;=6,1,2))</f>
        <v/>
      </c>
      <c r="P242" s="480">
        <f>IF(B242&lt;&gt;"Actif",0,H242*J242)</f>
        <v/>
      </c>
      <c r="Q242" s="480">
        <f>IF(B242&lt;&gt;"Actif",0,H242*I242)</f>
        <v/>
      </c>
      <c r="R242" s="480">
        <f>IF(B242&lt;&gt;"Actif",0,H242*I242*J242)</f>
        <v/>
      </c>
      <c r="S242" s="479" t="n"/>
    </row>
    <row r="243">
      <c r="A243" s="479">
        <f>IF(C243="","",ROW()-4)</f>
        <v/>
      </c>
      <c r="B243" s="479" t="n"/>
      <c r="C243" s="479" t="n"/>
      <c r="D243" s="479" t="n"/>
      <c r="E243" s="479" t="n"/>
      <c r="F243" s="479" t="n"/>
      <c r="G243" s="479" t="n"/>
      <c r="H243" s="480" t="n"/>
      <c r="I243" s="554" t="n"/>
      <c r="J243" s="554" t="n"/>
      <c r="K243" s="555" t="n"/>
      <c r="L243" s="555" t="n"/>
      <c r="M243" s="479">
        <f>IF(K243="","",YEAR(K243))</f>
        <v/>
      </c>
      <c r="N243" s="479">
        <f>IF(K243="","",ROUNDUP(MONTH(K243)/3,0))</f>
        <v/>
      </c>
      <c r="O243" s="479">
        <f>IF(K243="","",IF(MONTH(K243)&lt;=6,1,2))</f>
        <v/>
      </c>
      <c r="P243" s="480">
        <f>IF(B243&lt;&gt;"Actif",0,H243*J243)</f>
        <v/>
      </c>
      <c r="Q243" s="480">
        <f>IF(B243&lt;&gt;"Actif",0,H243*I243)</f>
        <v/>
      </c>
      <c r="R243" s="480">
        <f>IF(B243&lt;&gt;"Actif",0,H243*I243*J243)</f>
        <v/>
      </c>
      <c r="S243" s="479" t="n"/>
    </row>
    <row r="244">
      <c r="A244" s="479">
        <f>IF(C244="","",ROW()-4)</f>
        <v/>
      </c>
      <c r="B244" s="479" t="n"/>
      <c r="C244" s="479" t="n"/>
      <c r="D244" s="479" t="n"/>
      <c r="E244" s="479" t="n"/>
      <c r="F244" s="479" t="n"/>
      <c r="G244" s="479" t="n"/>
      <c r="H244" s="480" t="n"/>
      <c r="I244" s="554" t="n"/>
      <c r="J244" s="554" t="n"/>
      <c r="K244" s="555" t="n"/>
      <c r="L244" s="555" t="n"/>
      <c r="M244" s="479">
        <f>IF(K244="","",YEAR(K244))</f>
        <v/>
      </c>
      <c r="N244" s="479">
        <f>IF(K244="","",ROUNDUP(MONTH(K244)/3,0))</f>
        <v/>
      </c>
      <c r="O244" s="479">
        <f>IF(K244="","",IF(MONTH(K244)&lt;=6,1,2))</f>
        <v/>
      </c>
      <c r="P244" s="480">
        <f>IF(B244&lt;&gt;"Actif",0,H244*J244)</f>
        <v/>
      </c>
      <c r="Q244" s="480">
        <f>IF(B244&lt;&gt;"Actif",0,H244*I244)</f>
        <v/>
      </c>
      <c r="R244" s="480">
        <f>IF(B244&lt;&gt;"Actif",0,H244*I244*J244)</f>
        <v/>
      </c>
      <c r="S244" s="479" t="n"/>
    </row>
    <row r="245">
      <c r="A245" s="479">
        <f>IF(C245="","",ROW()-4)</f>
        <v/>
      </c>
      <c r="B245" s="479" t="n"/>
      <c r="C245" s="479" t="n"/>
      <c r="D245" s="479" t="n"/>
      <c r="E245" s="479" t="n"/>
      <c r="F245" s="479" t="n"/>
      <c r="G245" s="479" t="n"/>
      <c r="H245" s="480" t="n"/>
      <c r="I245" s="554" t="n"/>
      <c r="J245" s="554" t="n"/>
      <c r="K245" s="555" t="n"/>
      <c r="L245" s="555" t="n"/>
      <c r="M245" s="479">
        <f>IF(K245="","",YEAR(K245))</f>
        <v/>
      </c>
      <c r="N245" s="479">
        <f>IF(K245="","",ROUNDUP(MONTH(K245)/3,0))</f>
        <v/>
      </c>
      <c r="O245" s="479">
        <f>IF(K245="","",IF(MONTH(K245)&lt;=6,1,2))</f>
        <v/>
      </c>
      <c r="P245" s="480">
        <f>IF(B245&lt;&gt;"Actif",0,H245*J245)</f>
        <v/>
      </c>
      <c r="Q245" s="480">
        <f>IF(B245&lt;&gt;"Actif",0,H245*I245)</f>
        <v/>
      </c>
      <c r="R245" s="480">
        <f>IF(B245&lt;&gt;"Actif",0,H245*I245*J245)</f>
        <v/>
      </c>
      <c r="S245" s="479" t="n"/>
    </row>
    <row r="246">
      <c r="A246" s="479">
        <f>IF(C246="","",ROW()-4)</f>
        <v/>
      </c>
      <c r="B246" s="479" t="n"/>
      <c r="C246" s="479" t="n"/>
      <c r="D246" s="479" t="n"/>
      <c r="E246" s="479" t="n"/>
      <c r="F246" s="479" t="n"/>
      <c r="G246" s="479" t="n"/>
      <c r="H246" s="480" t="n"/>
      <c r="I246" s="554" t="n"/>
      <c r="J246" s="554" t="n"/>
      <c r="K246" s="555" t="n"/>
      <c r="L246" s="555" t="n"/>
      <c r="M246" s="479">
        <f>IF(K246="","",YEAR(K246))</f>
        <v/>
      </c>
      <c r="N246" s="479">
        <f>IF(K246="","",ROUNDUP(MONTH(K246)/3,0))</f>
        <v/>
      </c>
      <c r="O246" s="479">
        <f>IF(K246="","",IF(MONTH(K246)&lt;=6,1,2))</f>
        <v/>
      </c>
      <c r="P246" s="480">
        <f>IF(B246&lt;&gt;"Actif",0,H246*J246)</f>
        <v/>
      </c>
      <c r="Q246" s="480">
        <f>IF(B246&lt;&gt;"Actif",0,H246*I246)</f>
        <v/>
      </c>
      <c r="R246" s="480">
        <f>IF(B246&lt;&gt;"Actif",0,H246*I246*J246)</f>
        <v/>
      </c>
      <c r="S246" s="479" t="n"/>
    </row>
    <row r="247">
      <c r="A247" s="479">
        <f>IF(C247="","",ROW()-4)</f>
        <v/>
      </c>
      <c r="B247" s="479" t="n"/>
      <c r="C247" s="479" t="n"/>
      <c r="D247" s="479" t="n"/>
      <c r="E247" s="479" t="n"/>
      <c r="F247" s="479" t="n"/>
      <c r="G247" s="479" t="n"/>
      <c r="H247" s="480" t="n"/>
      <c r="I247" s="554" t="n"/>
      <c r="J247" s="554" t="n"/>
      <c r="K247" s="555" t="n"/>
      <c r="L247" s="555" t="n"/>
      <c r="M247" s="479">
        <f>IF(K247="","",YEAR(K247))</f>
        <v/>
      </c>
      <c r="N247" s="479">
        <f>IF(K247="","",ROUNDUP(MONTH(K247)/3,0))</f>
        <v/>
      </c>
      <c r="O247" s="479">
        <f>IF(K247="","",IF(MONTH(K247)&lt;=6,1,2))</f>
        <v/>
      </c>
      <c r="P247" s="480">
        <f>IF(B247&lt;&gt;"Actif",0,H247*J247)</f>
        <v/>
      </c>
      <c r="Q247" s="480">
        <f>IF(B247&lt;&gt;"Actif",0,H247*I247)</f>
        <v/>
      </c>
      <c r="R247" s="480">
        <f>IF(B247&lt;&gt;"Actif",0,H247*I247*J247)</f>
        <v/>
      </c>
      <c r="S247" s="479" t="n"/>
    </row>
    <row r="248">
      <c r="A248" s="479">
        <f>IF(C248="","",ROW()-4)</f>
        <v/>
      </c>
      <c r="B248" s="479" t="n"/>
      <c r="C248" s="479" t="n"/>
      <c r="D248" s="479" t="n"/>
      <c r="E248" s="479" t="n"/>
      <c r="F248" s="479" t="n"/>
      <c r="G248" s="479" t="n"/>
      <c r="H248" s="480" t="n"/>
      <c r="I248" s="554" t="n"/>
      <c r="J248" s="554" t="n"/>
      <c r="K248" s="555" t="n"/>
      <c r="L248" s="555" t="n"/>
      <c r="M248" s="479">
        <f>IF(K248="","",YEAR(K248))</f>
        <v/>
      </c>
      <c r="N248" s="479">
        <f>IF(K248="","",ROUNDUP(MONTH(K248)/3,0))</f>
        <v/>
      </c>
      <c r="O248" s="479">
        <f>IF(K248="","",IF(MONTH(K248)&lt;=6,1,2))</f>
        <v/>
      </c>
      <c r="P248" s="480">
        <f>IF(B248&lt;&gt;"Actif",0,H248*J248)</f>
        <v/>
      </c>
      <c r="Q248" s="480">
        <f>IF(B248&lt;&gt;"Actif",0,H248*I248)</f>
        <v/>
      </c>
      <c r="R248" s="480">
        <f>IF(B248&lt;&gt;"Actif",0,H248*I248*J248)</f>
        <v/>
      </c>
      <c r="S248" s="479" t="n"/>
    </row>
    <row r="249">
      <c r="A249" s="479">
        <f>IF(C249="","",ROW()-4)</f>
        <v/>
      </c>
      <c r="B249" s="479" t="n"/>
      <c r="C249" s="479" t="n"/>
      <c r="D249" s="479" t="n"/>
      <c r="E249" s="479" t="n"/>
      <c r="F249" s="479" t="n"/>
      <c r="G249" s="479" t="n"/>
      <c r="H249" s="480" t="n"/>
      <c r="I249" s="554" t="n"/>
      <c r="J249" s="554" t="n"/>
      <c r="K249" s="555" t="n"/>
      <c r="L249" s="555" t="n"/>
      <c r="M249" s="479">
        <f>IF(K249="","",YEAR(K249))</f>
        <v/>
      </c>
      <c r="N249" s="479">
        <f>IF(K249="","",ROUNDUP(MONTH(K249)/3,0))</f>
        <v/>
      </c>
      <c r="O249" s="479">
        <f>IF(K249="","",IF(MONTH(K249)&lt;=6,1,2))</f>
        <v/>
      </c>
      <c r="P249" s="480">
        <f>IF(B249&lt;&gt;"Actif",0,H249*J249)</f>
        <v/>
      </c>
      <c r="Q249" s="480">
        <f>IF(B249&lt;&gt;"Actif",0,H249*I249)</f>
        <v/>
      </c>
      <c r="R249" s="480">
        <f>IF(B249&lt;&gt;"Actif",0,H249*I249*J249)</f>
        <v/>
      </c>
      <c r="S249" s="479" t="n"/>
    </row>
    <row r="250">
      <c r="A250" s="479">
        <f>IF(C250="","",ROW()-4)</f>
        <v/>
      </c>
      <c r="B250" s="479" t="n"/>
      <c r="C250" s="479" t="n"/>
      <c r="D250" s="479" t="n"/>
      <c r="E250" s="479" t="n"/>
      <c r="F250" s="479" t="n"/>
      <c r="G250" s="479" t="n"/>
      <c r="H250" s="480" t="n"/>
      <c r="I250" s="554" t="n"/>
      <c r="J250" s="554" t="n"/>
      <c r="K250" s="555" t="n"/>
      <c r="L250" s="555" t="n"/>
      <c r="M250" s="479">
        <f>IF(K250="","",YEAR(K250))</f>
        <v/>
      </c>
      <c r="N250" s="479">
        <f>IF(K250="","",ROUNDUP(MONTH(K250)/3,0))</f>
        <v/>
      </c>
      <c r="O250" s="479">
        <f>IF(K250="","",IF(MONTH(K250)&lt;=6,1,2))</f>
        <v/>
      </c>
      <c r="P250" s="480">
        <f>IF(B250&lt;&gt;"Actif",0,H250*J250)</f>
        <v/>
      </c>
      <c r="Q250" s="480">
        <f>IF(B250&lt;&gt;"Actif",0,H250*I250)</f>
        <v/>
      </c>
      <c r="R250" s="480">
        <f>IF(B250&lt;&gt;"Actif",0,H250*I250*J250)</f>
        <v/>
      </c>
      <c r="S250" s="479" t="n"/>
    </row>
    <row r="251">
      <c r="A251" s="479">
        <f>IF(C251="","",ROW()-4)</f>
        <v/>
      </c>
      <c r="B251" s="479" t="n"/>
      <c r="C251" s="479" t="n"/>
      <c r="D251" s="479" t="n"/>
      <c r="E251" s="479" t="n"/>
      <c r="F251" s="479" t="n"/>
      <c r="G251" s="479" t="n"/>
      <c r="H251" s="480" t="n"/>
      <c r="I251" s="554" t="n"/>
      <c r="J251" s="554" t="n"/>
      <c r="K251" s="555" t="n"/>
      <c r="L251" s="555" t="n"/>
      <c r="M251" s="479">
        <f>IF(K251="","",YEAR(K251))</f>
        <v/>
      </c>
      <c r="N251" s="479">
        <f>IF(K251="","",ROUNDUP(MONTH(K251)/3,0))</f>
        <v/>
      </c>
      <c r="O251" s="479">
        <f>IF(K251="","",IF(MONTH(K251)&lt;=6,1,2))</f>
        <v/>
      </c>
      <c r="P251" s="480">
        <f>IF(B251&lt;&gt;"Actif",0,H251*J251)</f>
        <v/>
      </c>
      <c r="Q251" s="480">
        <f>IF(B251&lt;&gt;"Actif",0,H251*I251)</f>
        <v/>
      </c>
      <c r="R251" s="480">
        <f>IF(B251&lt;&gt;"Actif",0,H251*I251*J251)</f>
        <v/>
      </c>
      <c r="S251" s="479" t="n"/>
    </row>
    <row r="252">
      <c r="A252" s="479">
        <f>IF(C252="","",ROW()-4)</f>
        <v/>
      </c>
      <c r="B252" s="479" t="n"/>
      <c r="C252" s="479" t="n"/>
      <c r="D252" s="479" t="n"/>
      <c r="E252" s="479" t="n"/>
      <c r="F252" s="479" t="n"/>
      <c r="G252" s="479" t="n"/>
      <c r="H252" s="480" t="n"/>
      <c r="I252" s="554" t="n"/>
      <c r="J252" s="554" t="n"/>
      <c r="K252" s="555" t="n"/>
      <c r="L252" s="555" t="n"/>
      <c r="M252" s="479">
        <f>IF(K252="","",YEAR(K252))</f>
        <v/>
      </c>
      <c r="N252" s="479">
        <f>IF(K252="","",ROUNDUP(MONTH(K252)/3,0))</f>
        <v/>
      </c>
      <c r="O252" s="479">
        <f>IF(K252="","",IF(MONTH(K252)&lt;=6,1,2))</f>
        <v/>
      </c>
      <c r="P252" s="480">
        <f>IF(B252&lt;&gt;"Actif",0,H252*J252)</f>
        <v/>
      </c>
      <c r="Q252" s="480">
        <f>IF(B252&lt;&gt;"Actif",0,H252*I252)</f>
        <v/>
      </c>
      <c r="R252" s="480">
        <f>IF(B252&lt;&gt;"Actif",0,H252*I252*J252)</f>
        <v/>
      </c>
      <c r="S252" s="479" t="n"/>
    </row>
    <row r="253">
      <c r="A253" s="479">
        <f>IF(C253="","",ROW()-4)</f>
        <v/>
      </c>
      <c r="B253" s="479" t="n"/>
      <c r="C253" s="479" t="n"/>
      <c r="D253" s="479" t="n"/>
      <c r="E253" s="479" t="n"/>
      <c r="F253" s="479" t="n"/>
      <c r="G253" s="479" t="n"/>
      <c r="H253" s="480" t="n"/>
      <c r="I253" s="554" t="n"/>
      <c r="J253" s="554" t="n"/>
      <c r="K253" s="555" t="n"/>
      <c r="L253" s="555" t="n"/>
      <c r="M253" s="479">
        <f>IF(K253="","",YEAR(K253))</f>
        <v/>
      </c>
      <c r="N253" s="479">
        <f>IF(K253="","",ROUNDUP(MONTH(K253)/3,0))</f>
        <v/>
      </c>
      <c r="O253" s="479">
        <f>IF(K253="","",IF(MONTH(K253)&lt;=6,1,2))</f>
        <v/>
      </c>
      <c r="P253" s="480">
        <f>IF(B253&lt;&gt;"Actif",0,H253*J253)</f>
        <v/>
      </c>
      <c r="Q253" s="480">
        <f>IF(B253&lt;&gt;"Actif",0,H253*I253)</f>
        <v/>
      </c>
      <c r="R253" s="480">
        <f>IF(B253&lt;&gt;"Actif",0,H253*I253*J253)</f>
        <v/>
      </c>
      <c r="S253" s="479" t="n"/>
    </row>
    <row r="254">
      <c r="A254" s="479">
        <f>IF(C254="","",ROW()-4)</f>
        <v/>
      </c>
      <c r="B254" s="479" t="n"/>
      <c r="C254" s="479" t="n"/>
      <c r="D254" s="479" t="n"/>
      <c r="E254" s="479" t="n"/>
      <c r="F254" s="479" t="n"/>
      <c r="G254" s="479" t="n"/>
      <c r="H254" s="480" t="n"/>
      <c r="I254" s="554" t="n"/>
      <c r="J254" s="554" t="n"/>
      <c r="K254" s="555" t="n"/>
      <c r="L254" s="555" t="n"/>
      <c r="M254" s="479">
        <f>IF(K254="","",YEAR(K254))</f>
        <v/>
      </c>
      <c r="N254" s="479">
        <f>IF(K254="","",ROUNDUP(MONTH(K254)/3,0))</f>
        <v/>
      </c>
      <c r="O254" s="479">
        <f>IF(K254="","",IF(MONTH(K254)&lt;=6,1,2))</f>
        <v/>
      </c>
      <c r="P254" s="480">
        <f>IF(B254&lt;&gt;"Actif",0,H254*J254)</f>
        <v/>
      </c>
      <c r="Q254" s="480">
        <f>IF(B254&lt;&gt;"Actif",0,H254*I254)</f>
        <v/>
      </c>
      <c r="R254" s="480">
        <f>IF(B254&lt;&gt;"Actif",0,H254*I254*J254)</f>
        <v/>
      </c>
      <c r="S254" s="479" t="n"/>
    </row>
    <row r="255">
      <c r="A255" s="479">
        <f>IF(C255="","",ROW()-4)</f>
        <v/>
      </c>
      <c r="B255" s="479" t="n"/>
      <c r="C255" s="479" t="n"/>
      <c r="D255" s="479" t="n"/>
      <c r="E255" s="479" t="n"/>
      <c r="F255" s="479" t="n"/>
      <c r="G255" s="479" t="n"/>
      <c r="H255" s="480" t="n"/>
      <c r="I255" s="554" t="n"/>
      <c r="J255" s="554" t="n"/>
      <c r="K255" s="555" t="n"/>
      <c r="L255" s="555" t="n"/>
      <c r="M255" s="479">
        <f>IF(K255="","",YEAR(K255))</f>
        <v/>
      </c>
      <c r="N255" s="479">
        <f>IF(K255="","",ROUNDUP(MONTH(K255)/3,0))</f>
        <v/>
      </c>
      <c r="O255" s="479">
        <f>IF(K255="","",IF(MONTH(K255)&lt;=6,1,2))</f>
        <v/>
      </c>
      <c r="P255" s="480">
        <f>IF(B255&lt;&gt;"Actif",0,H255*J255)</f>
        <v/>
      </c>
      <c r="Q255" s="480">
        <f>IF(B255&lt;&gt;"Actif",0,H255*I255)</f>
        <v/>
      </c>
      <c r="R255" s="480">
        <f>IF(B255&lt;&gt;"Actif",0,H255*I255*J255)</f>
        <v/>
      </c>
      <c r="S255" s="479" t="n"/>
    </row>
    <row r="256">
      <c r="A256" s="479">
        <f>IF(C256="","",ROW()-4)</f>
        <v/>
      </c>
      <c r="B256" s="479" t="n"/>
      <c r="C256" s="479" t="n"/>
      <c r="D256" s="479" t="n"/>
      <c r="E256" s="479" t="n"/>
      <c r="F256" s="479" t="n"/>
      <c r="G256" s="479" t="n"/>
      <c r="H256" s="480" t="n"/>
      <c r="I256" s="554" t="n"/>
      <c r="J256" s="554" t="n"/>
      <c r="K256" s="555" t="n"/>
      <c r="L256" s="555" t="n"/>
      <c r="M256" s="479">
        <f>IF(K256="","",YEAR(K256))</f>
        <v/>
      </c>
      <c r="N256" s="479">
        <f>IF(K256="","",ROUNDUP(MONTH(K256)/3,0))</f>
        <v/>
      </c>
      <c r="O256" s="479">
        <f>IF(K256="","",IF(MONTH(K256)&lt;=6,1,2))</f>
        <v/>
      </c>
      <c r="P256" s="480">
        <f>IF(B256&lt;&gt;"Actif",0,H256*J256)</f>
        <v/>
      </c>
      <c r="Q256" s="480">
        <f>IF(B256&lt;&gt;"Actif",0,H256*I256)</f>
        <v/>
      </c>
      <c r="R256" s="480">
        <f>IF(B256&lt;&gt;"Actif",0,H256*I256*J256)</f>
        <v/>
      </c>
      <c r="S256" s="479" t="n"/>
    </row>
    <row r="257">
      <c r="A257" s="479">
        <f>IF(C257="","",ROW()-4)</f>
        <v/>
      </c>
      <c r="B257" s="479" t="n"/>
      <c r="C257" s="479" t="n"/>
      <c r="D257" s="479" t="n"/>
      <c r="E257" s="479" t="n"/>
      <c r="F257" s="479" t="n"/>
      <c r="G257" s="479" t="n"/>
      <c r="H257" s="480" t="n"/>
      <c r="I257" s="554" t="n"/>
      <c r="J257" s="554" t="n"/>
      <c r="K257" s="555" t="n"/>
      <c r="L257" s="555" t="n"/>
      <c r="M257" s="479">
        <f>IF(K257="","",YEAR(K257))</f>
        <v/>
      </c>
      <c r="N257" s="479">
        <f>IF(K257="","",ROUNDUP(MONTH(K257)/3,0))</f>
        <v/>
      </c>
      <c r="O257" s="479">
        <f>IF(K257="","",IF(MONTH(K257)&lt;=6,1,2))</f>
        <v/>
      </c>
      <c r="P257" s="480">
        <f>IF(B257&lt;&gt;"Actif",0,H257*J257)</f>
        <v/>
      </c>
      <c r="Q257" s="480">
        <f>IF(B257&lt;&gt;"Actif",0,H257*I257)</f>
        <v/>
      </c>
      <c r="R257" s="480">
        <f>IF(B257&lt;&gt;"Actif",0,H257*I257*J257)</f>
        <v/>
      </c>
      <c r="S257" s="479" t="n"/>
    </row>
    <row r="258">
      <c r="A258" s="479">
        <f>IF(C258="","",ROW()-4)</f>
        <v/>
      </c>
      <c r="B258" s="479" t="n"/>
      <c r="C258" s="479" t="n"/>
      <c r="D258" s="479" t="n"/>
      <c r="E258" s="479" t="n"/>
      <c r="F258" s="479" t="n"/>
      <c r="G258" s="479" t="n"/>
      <c r="H258" s="480" t="n"/>
      <c r="I258" s="554" t="n"/>
      <c r="J258" s="554" t="n"/>
      <c r="K258" s="555" t="n"/>
      <c r="L258" s="555" t="n"/>
      <c r="M258" s="479">
        <f>IF(K258="","",YEAR(K258))</f>
        <v/>
      </c>
      <c r="N258" s="479">
        <f>IF(K258="","",ROUNDUP(MONTH(K258)/3,0))</f>
        <v/>
      </c>
      <c r="O258" s="479">
        <f>IF(K258="","",IF(MONTH(K258)&lt;=6,1,2))</f>
        <v/>
      </c>
      <c r="P258" s="480">
        <f>IF(B258&lt;&gt;"Actif",0,H258*J258)</f>
        <v/>
      </c>
      <c r="Q258" s="480">
        <f>IF(B258&lt;&gt;"Actif",0,H258*I258)</f>
        <v/>
      </c>
      <c r="R258" s="480">
        <f>IF(B258&lt;&gt;"Actif",0,H258*I258*J258)</f>
        <v/>
      </c>
      <c r="S258" s="479" t="n"/>
    </row>
    <row r="259">
      <c r="A259" s="479">
        <f>IF(C259="","",ROW()-4)</f>
        <v/>
      </c>
      <c r="B259" s="479" t="n"/>
      <c r="C259" s="479" t="n"/>
      <c r="D259" s="479" t="n"/>
      <c r="E259" s="479" t="n"/>
      <c r="F259" s="479" t="n"/>
      <c r="G259" s="479" t="n"/>
      <c r="H259" s="480" t="n"/>
      <c r="I259" s="554" t="n"/>
      <c r="J259" s="554" t="n"/>
      <c r="K259" s="555" t="n"/>
      <c r="L259" s="555" t="n"/>
      <c r="M259" s="479">
        <f>IF(K259="","",YEAR(K259))</f>
        <v/>
      </c>
      <c r="N259" s="479">
        <f>IF(K259="","",ROUNDUP(MONTH(K259)/3,0))</f>
        <v/>
      </c>
      <c r="O259" s="479">
        <f>IF(K259="","",IF(MONTH(K259)&lt;=6,1,2))</f>
        <v/>
      </c>
      <c r="P259" s="480">
        <f>IF(B259&lt;&gt;"Actif",0,H259*J259)</f>
        <v/>
      </c>
      <c r="Q259" s="480">
        <f>IF(B259&lt;&gt;"Actif",0,H259*I259)</f>
        <v/>
      </c>
      <c r="R259" s="480">
        <f>IF(B259&lt;&gt;"Actif",0,H259*I259*J259)</f>
        <v/>
      </c>
      <c r="S259" s="479" t="n"/>
    </row>
    <row r="260">
      <c r="A260" s="479">
        <f>IF(C260="","",ROW()-4)</f>
        <v/>
      </c>
      <c r="B260" s="479" t="n"/>
      <c r="C260" s="479" t="n"/>
      <c r="D260" s="479" t="n"/>
      <c r="E260" s="479" t="n"/>
      <c r="F260" s="479" t="n"/>
      <c r="G260" s="479" t="n"/>
      <c r="H260" s="480" t="n"/>
      <c r="I260" s="554" t="n"/>
      <c r="J260" s="554" t="n"/>
      <c r="K260" s="555" t="n"/>
      <c r="L260" s="555" t="n"/>
      <c r="M260" s="479">
        <f>IF(K260="","",YEAR(K260))</f>
        <v/>
      </c>
      <c r="N260" s="479">
        <f>IF(K260="","",ROUNDUP(MONTH(K260)/3,0))</f>
        <v/>
      </c>
      <c r="O260" s="479">
        <f>IF(K260="","",IF(MONTH(K260)&lt;=6,1,2))</f>
        <v/>
      </c>
      <c r="P260" s="480">
        <f>IF(B260&lt;&gt;"Actif",0,H260*J260)</f>
        <v/>
      </c>
      <c r="Q260" s="480">
        <f>IF(B260&lt;&gt;"Actif",0,H260*I260)</f>
        <v/>
      </c>
      <c r="R260" s="480">
        <f>IF(B260&lt;&gt;"Actif",0,H260*I260*J260)</f>
        <v/>
      </c>
      <c r="S260" s="479" t="n"/>
    </row>
    <row r="261">
      <c r="A261" s="479">
        <f>IF(C261="","",ROW()-4)</f>
        <v/>
      </c>
      <c r="B261" s="479" t="n"/>
      <c r="C261" s="479" t="n"/>
      <c r="D261" s="479" t="n"/>
      <c r="E261" s="479" t="n"/>
      <c r="F261" s="479" t="n"/>
      <c r="G261" s="479" t="n"/>
      <c r="H261" s="480" t="n"/>
      <c r="I261" s="554" t="n"/>
      <c r="J261" s="554" t="n"/>
      <c r="K261" s="555" t="n"/>
      <c r="L261" s="555" t="n"/>
      <c r="M261" s="479">
        <f>IF(K261="","",YEAR(K261))</f>
        <v/>
      </c>
      <c r="N261" s="479">
        <f>IF(K261="","",ROUNDUP(MONTH(K261)/3,0))</f>
        <v/>
      </c>
      <c r="O261" s="479">
        <f>IF(K261="","",IF(MONTH(K261)&lt;=6,1,2))</f>
        <v/>
      </c>
      <c r="P261" s="480">
        <f>IF(B261&lt;&gt;"Actif",0,H261*J261)</f>
        <v/>
      </c>
      <c r="Q261" s="480">
        <f>IF(B261&lt;&gt;"Actif",0,H261*I261)</f>
        <v/>
      </c>
      <c r="R261" s="480">
        <f>IF(B261&lt;&gt;"Actif",0,H261*I261*J261)</f>
        <v/>
      </c>
      <c r="S261" s="479" t="n"/>
    </row>
    <row r="262">
      <c r="A262" s="479">
        <f>IF(C262="","",ROW()-4)</f>
        <v/>
      </c>
      <c r="B262" s="479" t="n"/>
      <c r="C262" s="479" t="n"/>
      <c r="D262" s="479" t="n"/>
      <c r="E262" s="479" t="n"/>
      <c r="F262" s="479" t="n"/>
      <c r="G262" s="479" t="n"/>
      <c r="H262" s="480" t="n"/>
      <c r="I262" s="554" t="n"/>
      <c r="J262" s="554" t="n"/>
      <c r="K262" s="555" t="n"/>
      <c r="L262" s="555" t="n"/>
      <c r="M262" s="479">
        <f>IF(K262="","",YEAR(K262))</f>
        <v/>
      </c>
      <c r="N262" s="479">
        <f>IF(K262="","",ROUNDUP(MONTH(K262)/3,0))</f>
        <v/>
      </c>
      <c r="O262" s="479">
        <f>IF(K262="","",IF(MONTH(K262)&lt;=6,1,2))</f>
        <v/>
      </c>
      <c r="P262" s="480">
        <f>IF(B262&lt;&gt;"Actif",0,H262*J262)</f>
        <v/>
      </c>
      <c r="Q262" s="480">
        <f>IF(B262&lt;&gt;"Actif",0,H262*I262)</f>
        <v/>
      </c>
      <c r="R262" s="480">
        <f>IF(B262&lt;&gt;"Actif",0,H262*I262*J262)</f>
        <v/>
      </c>
      <c r="S262" s="479" t="n"/>
    </row>
    <row r="263">
      <c r="A263" s="479">
        <f>IF(C263="","",ROW()-4)</f>
        <v/>
      </c>
      <c r="B263" s="479" t="n"/>
      <c r="C263" s="479" t="n"/>
      <c r="D263" s="479" t="n"/>
      <c r="E263" s="479" t="n"/>
      <c r="F263" s="479" t="n"/>
      <c r="G263" s="479" t="n"/>
      <c r="H263" s="480" t="n"/>
      <c r="I263" s="554" t="n"/>
      <c r="J263" s="554" t="n"/>
      <c r="K263" s="555" t="n"/>
      <c r="L263" s="555" t="n"/>
      <c r="M263" s="479">
        <f>IF(K263="","",YEAR(K263))</f>
        <v/>
      </c>
      <c r="N263" s="479">
        <f>IF(K263="","",ROUNDUP(MONTH(K263)/3,0))</f>
        <v/>
      </c>
      <c r="O263" s="479">
        <f>IF(K263="","",IF(MONTH(K263)&lt;=6,1,2))</f>
        <v/>
      </c>
      <c r="P263" s="480">
        <f>IF(B263&lt;&gt;"Actif",0,H263*J263)</f>
        <v/>
      </c>
      <c r="Q263" s="480">
        <f>IF(B263&lt;&gt;"Actif",0,H263*I263)</f>
        <v/>
      </c>
      <c r="R263" s="480">
        <f>IF(B263&lt;&gt;"Actif",0,H263*I263*J263)</f>
        <v/>
      </c>
      <c r="S263" s="479" t="n"/>
    </row>
    <row r="264">
      <c r="A264" s="479">
        <f>IF(C264="","",ROW()-4)</f>
        <v/>
      </c>
      <c r="B264" s="479" t="n"/>
      <c r="C264" s="479" t="n"/>
      <c r="D264" s="479" t="n"/>
      <c r="E264" s="479" t="n"/>
      <c r="F264" s="479" t="n"/>
      <c r="G264" s="479" t="n"/>
      <c r="H264" s="480" t="n"/>
      <c r="I264" s="554" t="n"/>
      <c r="J264" s="554" t="n"/>
      <c r="K264" s="555" t="n"/>
      <c r="L264" s="555" t="n"/>
      <c r="M264" s="479">
        <f>IF(K264="","",YEAR(K264))</f>
        <v/>
      </c>
      <c r="N264" s="479">
        <f>IF(K264="","",ROUNDUP(MONTH(K264)/3,0))</f>
        <v/>
      </c>
      <c r="O264" s="479">
        <f>IF(K264="","",IF(MONTH(K264)&lt;=6,1,2))</f>
        <v/>
      </c>
      <c r="P264" s="480">
        <f>IF(B264&lt;&gt;"Actif",0,H264*J264)</f>
        <v/>
      </c>
      <c r="Q264" s="480">
        <f>IF(B264&lt;&gt;"Actif",0,H264*I264)</f>
        <v/>
      </c>
      <c r="R264" s="480">
        <f>IF(B264&lt;&gt;"Actif",0,H264*I264*J264)</f>
        <v/>
      </c>
      <c r="S264" s="479" t="n"/>
    </row>
    <row r="265">
      <c r="A265" s="479">
        <f>IF(C265="","",ROW()-4)</f>
        <v/>
      </c>
      <c r="B265" s="479" t="n"/>
      <c r="C265" s="479" t="n"/>
      <c r="D265" s="479" t="n"/>
      <c r="E265" s="479" t="n"/>
      <c r="F265" s="479" t="n"/>
      <c r="G265" s="479" t="n"/>
      <c r="H265" s="480" t="n"/>
      <c r="I265" s="554" t="n"/>
      <c r="J265" s="554" t="n"/>
      <c r="K265" s="555" t="n"/>
      <c r="L265" s="555" t="n"/>
      <c r="M265" s="479">
        <f>IF(K265="","",YEAR(K265))</f>
        <v/>
      </c>
      <c r="N265" s="479">
        <f>IF(K265="","",ROUNDUP(MONTH(K265)/3,0))</f>
        <v/>
      </c>
      <c r="O265" s="479">
        <f>IF(K265="","",IF(MONTH(K265)&lt;=6,1,2))</f>
        <v/>
      </c>
      <c r="P265" s="480">
        <f>IF(B265&lt;&gt;"Actif",0,H265*J265)</f>
        <v/>
      </c>
      <c r="Q265" s="480">
        <f>IF(B265&lt;&gt;"Actif",0,H265*I265)</f>
        <v/>
      </c>
      <c r="R265" s="480">
        <f>IF(B265&lt;&gt;"Actif",0,H265*I265*J265)</f>
        <v/>
      </c>
      <c r="S265" s="479" t="n"/>
    </row>
    <row r="266">
      <c r="A266" s="479">
        <f>IF(C266="","",ROW()-4)</f>
        <v/>
      </c>
      <c r="B266" s="479" t="n"/>
      <c r="C266" s="479" t="n"/>
      <c r="D266" s="479" t="n"/>
      <c r="E266" s="479" t="n"/>
      <c r="F266" s="479" t="n"/>
      <c r="G266" s="479" t="n"/>
      <c r="H266" s="480" t="n"/>
      <c r="I266" s="554" t="n"/>
      <c r="J266" s="554" t="n"/>
      <c r="K266" s="555" t="n"/>
      <c r="L266" s="555" t="n"/>
      <c r="M266" s="479">
        <f>IF(K266="","",YEAR(K266))</f>
        <v/>
      </c>
      <c r="N266" s="479">
        <f>IF(K266="","",ROUNDUP(MONTH(K266)/3,0))</f>
        <v/>
      </c>
      <c r="O266" s="479">
        <f>IF(K266="","",IF(MONTH(K266)&lt;=6,1,2))</f>
        <v/>
      </c>
      <c r="P266" s="480">
        <f>IF(B266&lt;&gt;"Actif",0,H266*J266)</f>
        <v/>
      </c>
      <c r="Q266" s="480">
        <f>IF(B266&lt;&gt;"Actif",0,H266*I266)</f>
        <v/>
      </c>
      <c r="R266" s="480">
        <f>IF(B266&lt;&gt;"Actif",0,H266*I266*J266)</f>
        <v/>
      </c>
      <c r="S266" s="479" t="n"/>
    </row>
    <row r="267">
      <c r="A267" s="479">
        <f>IF(C267="","",ROW()-4)</f>
        <v/>
      </c>
      <c r="B267" s="479" t="n"/>
      <c r="C267" s="479" t="n"/>
      <c r="D267" s="479" t="n"/>
      <c r="E267" s="479" t="n"/>
      <c r="F267" s="479" t="n"/>
      <c r="G267" s="479" t="n"/>
      <c r="H267" s="480" t="n"/>
      <c r="I267" s="554" t="n"/>
      <c r="J267" s="554" t="n"/>
      <c r="K267" s="555" t="n"/>
      <c r="L267" s="555" t="n"/>
      <c r="M267" s="479">
        <f>IF(K267="","",YEAR(K267))</f>
        <v/>
      </c>
      <c r="N267" s="479">
        <f>IF(K267="","",ROUNDUP(MONTH(K267)/3,0))</f>
        <v/>
      </c>
      <c r="O267" s="479">
        <f>IF(K267="","",IF(MONTH(K267)&lt;=6,1,2))</f>
        <v/>
      </c>
      <c r="P267" s="480">
        <f>IF(B267&lt;&gt;"Actif",0,H267*J267)</f>
        <v/>
      </c>
      <c r="Q267" s="480">
        <f>IF(B267&lt;&gt;"Actif",0,H267*I267)</f>
        <v/>
      </c>
      <c r="R267" s="480">
        <f>IF(B267&lt;&gt;"Actif",0,H267*I267*J267)</f>
        <v/>
      </c>
      <c r="S267" s="479" t="n"/>
    </row>
    <row r="268">
      <c r="A268" s="479">
        <f>IF(C268="","",ROW()-4)</f>
        <v/>
      </c>
      <c r="B268" s="479" t="n"/>
      <c r="C268" s="479" t="n"/>
      <c r="D268" s="479" t="n"/>
      <c r="E268" s="479" t="n"/>
      <c r="F268" s="479" t="n"/>
      <c r="G268" s="479" t="n"/>
      <c r="H268" s="480" t="n"/>
      <c r="I268" s="554" t="n"/>
      <c r="J268" s="554" t="n"/>
      <c r="K268" s="555" t="n"/>
      <c r="L268" s="555" t="n"/>
      <c r="M268" s="479">
        <f>IF(K268="","",YEAR(K268))</f>
        <v/>
      </c>
      <c r="N268" s="479">
        <f>IF(K268="","",ROUNDUP(MONTH(K268)/3,0))</f>
        <v/>
      </c>
      <c r="O268" s="479">
        <f>IF(K268="","",IF(MONTH(K268)&lt;=6,1,2))</f>
        <v/>
      </c>
      <c r="P268" s="480">
        <f>IF(B268&lt;&gt;"Actif",0,H268*J268)</f>
        <v/>
      </c>
      <c r="Q268" s="480">
        <f>IF(B268&lt;&gt;"Actif",0,H268*I268)</f>
        <v/>
      </c>
      <c r="R268" s="480">
        <f>IF(B268&lt;&gt;"Actif",0,H268*I268*J268)</f>
        <v/>
      </c>
      <c r="S268" s="479" t="n"/>
    </row>
    <row r="269">
      <c r="A269" s="479">
        <f>IF(C269="","",ROW()-4)</f>
        <v/>
      </c>
      <c r="B269" s="479" t="n"/>
      <c r="C269" s="479" t="n"/>
      <c r="D269" s="479" t="n"/>
      <c r="E269" s="479" t="n"/>
      <c r="F269" s="479" t="n"/>
      <c r="G269" s="479" t="n"/>
      <c r="H269" s="480" t="n"/>
      <c r="I269" s="554" t="n"/>
      <c r="J269" s="554" t="n"/>
      <c r="K269" s="555" t="n"/>
      <c r="L269" s="555" t="n"/>
      <c r="M269" s="479">
        <f>IF(K269="","",YEAR(K269))</f>
        <v/>
      </c>
      <c r="N269" s="479">
        <f>IF(K269="","",ROUNDUP(MONTH(K269)/3,0))</f>
        <v/>
      </c>
      <c r="O269" s="479">
        <f>IF(K269="","",IF(MONTH(K269)&lt;=6,1,2))</f>
        <v/>
      </c>
      <c r="P269" s="480">
        <f>IF(B269&lt;&gt;"Actif",0,H269*J269)</f>
        <v/>
      </c>
      <c r="Q269" s="480">
        <f>IF(B269&lt;&gt;"Actif",0,H269*I269)</f>
        <v/>
      </c>
      <c r="R269" s="480">
        <f>IF(B269&lt;&gt;"Actif",0,H269*I269*J269)</f>
        <v/>
      </c>
      <c r="S269" s="479" t="n"/>
    </row>
    <row r="270">
      <c r="A270" s="479">
        <f>IF(C270="","",ROW()-4)</f>
        <v/>
      </c>
      <c r="B270" s="479" t="n"/>
      <c r="C270" s="479" t="n"/>
      <c r="D270" s="479" t="n"/>
      <c r="E270" s="479" t="n"/>
      <c r="F270" s="479" t="n"/>
      <c r="G270" s="479" t="n"/>
      <c r="H270" s="480" t="n"/>
      <c r="I270" s="554" t="n"/>
      <c r="J270" s="554" t="n"/>
      <c r="K270" s="555" t="n"/>
      <c r="L270" s="555" t="n"/>
      <c r="M270" s="479">
        <f>IF(K270="","",YEAR(K270))</f>
        <v/>
      </c>
      <c r="N270" s="479">
        <f>IF(K270="","",ROUNDUP(MONTH(K270)/3,0))</f>
        <v/>
      </c>
      <c r="O270" s="479">
        <f>IF(K270="","",IF(MONTH(K270)&lt;=6,1,2))</f>
        <v/>
      </c>
      <c r="P270" s="480">
        <f>IF(B270&lt;&gt;"Actif",0,H270*J270)</f>
        <v/>
      </c>
      <c r="Q270" s="480">
        <f>IF(B270&lt;&gt;"Actif",0,H270*I270)</f>
        <v/>
      </c>
      <c r="R270" s="480">
        <f>IF(B270&lt;&gt;"Actif",0,H270*I270*J270)</f>
        <v/>
      </c>
      <c r="S270" s="479" t="n"/>
    </row>
    <row r="271">
      <c r="A271" s="479">
        <f>IF(C271="","",ROW()-4)</f>
        <v/>
      </c>
      <c r="B271" s="479" t="n"/>
      <c r="C271" s="479" t="n"/>
      <c r="D271" s="479" t="n"/>
      <c r="E271" s="479" t="n"/>
      <c r="F271" s="479" t="n"/>
      <c r="G271" s="479" t="n"/>
      <c r="H271" s="480" t="n"/>
      <c r="I271" s="554" t="n"/>
      <c r="J271" s="554" t="n"/>
      <c r="K271" s="555" t="n"/>
      <c r="L271" s="555" t="n"/>
      <c r="M271" s="479">
        <f>IF(K271="","",YEAR(K271))</f>
        <v/>
      </c>
      <c r="N271" s="479">
        <f>IF(K271="","",ROUNDUP(MONTH(K271)/3,0))</f>
        <v/>
      </c>
      <c r="O271" s="479">
        <f>IF(K271="","",IF(MONTH(K271)&lt;=6,1,2))</f>
        <v/>
      </c>
      <c r="P271" s="480">
        <f>IF(B271&lt;&gt;"Actif",0,H271*J271)</f>
        <v/>
      </c>
      <c r="Q271" s="480">
        <f>IF(B271&lt;&gt;"Actif",0,H271*I271)</f>
        <v/>
      </c>
      <c r="R271" s="480">
        <f>IF(B271&lt;&gt;"Actif",0,H271*I271*J271)</f>
        <v/>
      </c>
      <c r="S271" s="479" t="n"/>
    </row>
    <row r="272">
      <c r="A272" s="479">
        <f>IF(C272="","",ROW()-4)</f>
        <v/>
      </c>
      <c r="B272" s="479" t="n"/>
      <c r="C272" s="479" t="n"/>
      <c r="D272" s="479" t="n"/>
      <c r="E272" s="479" t="n"/>
      <c r="F272" s="479" t="n"/>
      <c r="G272" s="479" t="n"/>
      <c r="H272" s="480" t="n"/>
      <c r="I272" s="554" t="n"/>
      <c r="J272" s="554" t="n"/>
      <c r="K272" s="555" t="n"/>
      <c r="L272" s="555" t="n"/>
      <c r="M272" s="479">
        <f>IF(K272="","",YEAR(K272))</f>
        <v/>
      </c>
      <c r="N272" s="479">
        <f>IF(K272="","",ROUNDUP(MONTH(K272)/3,0))</f>
        <v/>
      </c>
      <c r="O272" s="479">
        <f>IF(K272="","",IF(MONTH(K272)&lt;=6,1,2))</f>
        <v/>
      </c>
      <c r="P272" s="480">
        <f>IF(B272&lt;&gt;"Actif",0,H272*J272)</f>
        <v/>
      </c>
      <c r="Q272" s="480">
        <f>IF(B272&lt;&gt;"Actif",0,H272*I272)</f>
        <v/>
      </c>
      <c r="R272" s="480">
        <f>IF(B272&lt;&gt;"Actif",0,H272*I272*J272)</f>
        <v/>
      </c>
      <c r="S272" s="479" t="n"/>
    </row>
    <row r="273">
      <c r="A273" s="479">
        <f>IF(C273="","",ROW()-4)</f>
        <v/>
      </c>
      <c r="B273" s="479" t="n"/>
      <c r="C273" s="479" t="n"/>
      <c r="D273" s="479" t="n"/>
      <c r="E273" s="479" t="n"/>
      <c r="F273" s="479" t="n"/>
      <c r="G273" s="479" t="n"/>
      <c r="H273" s="480" t="n"/>
      <c r="I273" s="554" t="n"/>
      <c r="J273" s="554" t="n"/>
      <c r="K273" s="555" t="n"/>
      <c r="L273" s="555" t="n"/>
      <c r="M273" s="479">
        <f>IF(K273="","",YEAR(K273))</f>
        <v/>
      </c>
      <c r="N273" s="479">
        <f>IF(K273="","",ROUNDUP(MONTH(K273)/3,0))</f>
        <v/>
      </c>
      <c r="O273" s="479">
        <f>IF(K273="","",IF(MONTH(K273)&lt;=6,1,2))</f>
        <v/>
      </c>
      <c r="P273" s="480">
        <f>IF(B273&lt;&gt;"Actif",0,H273*J273)</f>
        <v/>
      </c>
      <c r="Q273" s="480">
        <f>IF(B273&lt;&gt;"Actif",0,H273*I273)</f>
        <v/>
      </c>
      <c r="R273" s="480">
        <f>IF(B273&lt;&gt;"Actif",0,H273*I273*J273)</f>
        <v/>
      </c>
      <c r="S273" s="479" t="n"/>
    </row>
    <row r="274">
      <c r="A274" s="479">
        <f>IF(C274="","",ROW()-4)</f>
        <v/>
      </c>
      <c r="B274" s="479" t="n"/>
      <c r="C274" s="479" t="n"/>
      <c r="D274" s="479" t="n"/>
      <c r="E274" s="479" t="n"/>
      <c r="F274" s="479" t="n"/>
      <c r="G274" s="479" t="n"/>
      <c r="H274" s="480" t="n"/>
      <c r="I274" s="554" t="n"/>
      <c r="J274" s="554" t="n"/>
      <c r="K274" s="555" t="n"/>
      <c r="L274" s="555" t="n"/>
      <c r="M274" s="479">
        <f>IF(K274="","",YEAR(K274))</f>
        <v/>
      </c>
      <c r="N274" s="479">
        <f>IF(K274="","",ROUNDUP(MONTH(K274)/3,0))</f>
        <v/>
      </c>
      <c r="O274" s="479">
        <f>IF(K274="","",IF(MONTH(K274)&lt;=6,1,2))</f>
        <v/>
      </c>
      <c r="P274" s="480">
        <f>IF(B274&lt;&gt;"Actif",0,H274*J274)</f>
        <v/>
      </c>
      <c r="Q274" s="480">
        <f>IF(B274&lt;&gt;"Actif",0,H274*I274)</f>
        <v/>
      </c>
      <c r="R274" s="480">
        <f>IF(B274&lt;&gt;"Actif",0,H274*I274*J274)</f>
        <v/>
      </c>
      <c r="S274" s="479" t="n"/>
    </row>
    <row r="275">
      <c r="A275" s="479">
        <f>IF(C275="","",ROW()-4)</f>
        <v/>
      </c>
      <c r="B275" s="479" t="n"/>
      <c r="C275" s="479" t="n"/>
      <c r="D275" s="479" t="n"/>
      <c r="E275" s="479" t="n"/>
      <c r="F275" s="479" t="n"/>
      <c r="G275" s="479" t="n"/>
      <c r="H275" s="480" t="n"/>
      <c r="I275" s="554" t="n"/>
      <c r="J275" s="554" t="n"/>
      <c r="K275" s="555" t="n"/>
      <c r="L275" s="555" t="n"/>
      <c r="M275" s="479">
        <f>IF(K275="","",YEAR(K275))</f>
        <v/>
      </c>
      <c r="N275" s="479">
        <f>IF(K275="","",ROUNDUP(MONTH(K275)/3,0))</f>
        <v/>
      </c>
      <c r="O275" s="479">
        <f>IF(K275="","",IF(MONTH(K275)&lt;=6,1,2))</f>
        <v/>
      </c>
      <c r="P275" s="480">
        <f>IF(B275&lt;&gt;"Actif",0,H275*J275)</f>
        <v/>
      </c>
      <c r="Q275" s="480">
        <f>IF(B275&lt;&gt;"Actif",0,H275*I275)</f>
        <v/>
      </c>
      <c r="R275" s="480">
        <f>IF(B275&lt;&gt;"Actif",0,H275*I275*J275)</f>
        <v/>
      </c>
      <c r="S275" s="479" t="n"/>
    </row>
    <row r="276">
      <c r="A276" s="479">
        <f>IF(C276="","",ROW()-4)</f>
        <v/>
      </c>
      <c r="B276" s="479" t="n"/>
      <c r="C276" s="479" t="n"/>
      <c r="D276" s="479" t="n"/>
      <c r="E276" s="479" t="n"/>
      <c r="F276" s="479" t="n"/>
      <c r="G276" s="479" t="n"/>
      <c r="H276" s="480" t="n"/>
      <c r="I276" s="554" t="n"/>
      <c r="J276" s="554" t="n"/>
      <c r="K276" s="555" t="n"/>
      <c r="L276" s="555" t="n"/>
      <c r="M276" s="479">
        <f>IF(K276="","",YEAR(K276))</f>
        <v/>
      </c>
      <c r="N276" s="479">
        <f>IF(K276="","",ROUNDUP(MONTH(K276)/3,0))</f>
        <v/>
      </c>
      <c r="O276" s="479">
        <f>IF(K276="","",IF(MONTH(K276)&lt;=6,1,2))</f>
        <v/>
      </c>
      <c r="P276" s="480">
        <f>IF(B276&lt;&gt;"Actif",0,H276*J276)</f>
        <v/>
      </c>
      <c r="Q276" s="480">
        <f>IF(B276&lt;&gt;"Actif",0,H276*I276)</f>
        <v/>
      </c>
      <c r="R276" s="480">
        <f>IF(B276&lt;&gt;"Actif",0,H276*I276*J276)</f>
        <v/>
      </c>
      <c r="S276" s="479" t="n"/>
    </row>
    <row r="277">
      <c r="A277" s="479">
        <f>IF(C277="","",ROW()-4)</f>
        <v/>
      </c>
      <c r="B277" s="479" t="n"/>
      <c r="C277" s="479" t="n"/>
      <c r="D277" s="479" t="n"/>
      <c r="E277" s="479" t="n"/>
      <c r="F277" s="479" t="n"/>
      <c r="G277" s="479" t="n"/>
      <c r="H277" s="480" t="n"/>
      <c r="I277" s="554" t="n"/>
      <c r="J277" s="554" t="n"/>
      <c r="K277" s="555" t="n"/>
      <c r="L277" s="555" t="n"/>
      <c r="M277" s="479">
        <f>IF(K277="","",YEAR(K277))</f>
        <v/>
      </c>
      <c r="N277" s="479">
        <f>IF(K277="","",ROUNDUP(MONTH(K277)/3,0))</f>
        <v/>
      </c>
      <c r="O277" s="479">
        <f>IF(K277="","",IF(MONTH(K277)&lt;=6,1,2))</f>
        <v/>
      </c>
      <c r="P277" s="480">
        <f>IF(B277&lt;&gt;"Actif",0,H277*J277)</f>
        <v/>
      </c>
      <c r="Q277" s="480">
        <f>IF(B277&lt;&gt;"Actif",0,H277*I277)</f>
        <v/>
      </c>
      <c r="R277" s="480">
        <f>IF(B277&lt;&gt;"Actif",0,H277*I277*J277)</f>
        <v/>
      </c>
      <c r="S277" s="479" t="n"/>
    </row>
    <row r="278">
      <c r="A278" s="479">
        <f>IF(C278="","",ROW()-4)</f>
        <v/>
      </c>
      <c r="B278" s="479" t="n"/>
      <c r="C278" s="479" t="n"/>
      <c r="D278" s="479" t="n"/>
      <c r="E278" s="479" t="n"/>
      <c r="F278" s="479" t="n"/>
      <c r="G278" s="479" t="n"/>
      <c r="H278" s="480" t="n"/>
      <c r="I278" s="554" t="n"/>
      <c r="J278" s="554" t="n"/>
      <c r="K278" s="555" t="n"/>
      <c r="L278" s="555" t="n"/>
      <c r="M278" s="479">
        <f>IF(K278="","",YEAR(K278))</f>
        <v/>
      </c>
      <c r="N278" s="479">
        <f>IF(K278="","",ROUNDUP(MONTH(K278)/3,0))</f>
        <v/>
      </c>
      <c r="O278" s="479">
        <f>IF(K278="","",IF(MONTH(K278)&lt;=6,1,2))</f>
        <v/>
      </c>
      <c r="P278" s="480">
        <f>IF(B278&lt;&gt;"Actif",0,H278*J278)</f>
        <v/>
      </c>
      <c r="Q278" s="480">
        <f>IF(B278&lt;&gt;"Actif",0,H278*I278)</f>
        <v/>
      </c>
      <c r="R278" s="480">
        <f>IF(B278&lt;&gt;"Actif",0,H278*I278*J278)</f>
        <v/>
      </c>
      <c r="S278" s="479" t="n"/>
    </row>
    <row r="279">
      <c r="A279" s="479">
        <f>IF(C279="","",ROW()-4)</f>
        <v/>
      </c>
      <c r="B279" s="479" t="n"/>
      <c r="C279" s="479" t="n"/>
      <c r="D279" s="479" t="n"/>
      <c r="E279" s="479" t="n"/>
      <c r="F279" s="479" t="n"/>
      <c r="G279" s="479" t="n"/>
      <c r="H279" s="480" t="n"/>
      <c r="I279" s="554" t="n"/>
      <c r="J279" s="554" t="n"/>
      <c r="K279" s="555" t="n"/>
      <c r="L279" s="555" t="n"/>
      <c r="M279" s="479">
        <f>IF(K279="","",YEAR(K279))</f>
        <v/>
      </c>
      <c r="N279" s="479">
        <f>IF(K279="","",ROUNDUP(MONTH(K279)/3,0))</f>
        <v/>
      </c>
      <c r="O279" s="479">
        <f>IF(K279="","",IF(MONTH(K279)&lt;=6,1,2))</f>
        <v/>
      </c>
      <c r="P279" s="480">
        <f>IF(B279&lt;&gt;"Actif",0,H279*J279)</f>
        <v/>
      </c>
      <c r="Q279" s="480">
        <f>IF(B279&lt;&gt;"Actif",0,H279*I279)</f>
        <v/>
      </c>
      <c r="R279" s="480">
        <f>IF(B279&lt;&gt;"Actif",0,H279*I279*J279)</f>
        <v/>
      </c>
      <c r="S279" s="479" t="n"/>
    </row>
    <row r="280">
      <c r="A280" s="479">
        <f>IF(C280="","",ROW()-4)</f>
        <v/>
      </c>
      <c r="B280" s="479" t="n"/>
      <c r="C280" s="479" t="n"/>
      <c r="D280" s="479" t="n"/>
      <c r="E280" s="479" t="n"/>
      <c r="F280" s="479" t="n"/>
      <c r="G280" s="479" t="n"/>
      <c r="H280" s="480" t="n"/>
      <c r="I280" s="554" t="n"/>
      <c r="J280" s="554" t="n"/>
      <c r="K280" s="555" t="n"/>
      <c r="L280" s="555" t="n"/>
      <c r="M280" s="479">
        <f>IF(K280="","",YEAR(K280))</f>
        <v/>
      </c>
      <c r="N280" s="479">
        <f>IF(K280="","",ROUNDUP(MONTH(K280)/3,0))</f>
        <v/>
      </c>
      <c r="O280" s="479">
        <f>IF(K280="","",IF(MONTH(K280)&lt;=6,1,2))</f>
        <v/>
      </c>
      <c r="P280" s="480">
        <f>IF(B280&lt;&gt;"Actif",0,H280*J280)</f>
        <v/>
      </c>
      <c r="Q280" s="480">
        <f>IF(B280&lt;&gt;"Actif",0,H280*I280)</f>
        <v/>
      </c>
      <c r="R280" s="480">
        <f>IF(B280&lt;&gt;"Actif",0,H280*I280*J280)</f>
        <v/>
      </c>
      <c r="S280" s="479" t="n"/>
    </row>
    <row r="281">
      <c r="A281" s="479">
        <f>IF(C281="","",ROW()-4)</f>
        <v/>
      </c>
      <c r="B281" s="479" t="n"/>
      <c r="C281" s="479" t="n"/>
      <c r="D281" s="479" t="n"/>
      <c r="E281" s="479" t="n"/>
      <c r="F281" s="479" t="n"/>
      <c r="G281" s="479" t="n"/>
      <c r="H281" s="480" t="n"/>
      <c r="I281" s="554" t="n"/>
      <c r="J281" s="554" t="n"/>
      <c r="K281" s="555" t="n"/>
      <c r="L281" s="555" t="n"/>
      <c r="M281" s="479">
        <f>IF(K281="","",YEAR(K281))</f>
        <v/>
      </c>
      <c r="N281" s="479">
        <f>IF(K281="","",ROUNDUP(MONTH(K281)/3,0))</f>
        <v/>
      </c>
      <c r="O281" s="479">
        <f>IF(K281="","",IF(MONTH(K281)&lt;=6,1,2))</f>
        <v/>
      </c>
      <c r="P281" s="480">
        <f>IF(B281&lt;&gt;"Actif",0,H281*J281)</f>
        <v/>
      </c>
      <c r="Q281" s="480">
        <f>IF(B281&lt;&gt;"Actif",0,H281*I281)</f>
        <v/>
      </c>
      <c r="R281" s="480">
        <f>IF(B281&lt;&gt;"Actif",0,H281*I281*J281)</f>
        <v/>
      </c>
      <c r="S281" s="479" t="n"/>
    </row>
    <row r="282">
      <c r="A282" s="479">
        <f>IF(C282="","",ROW()-4)</f>
        <v/>
      </c>
      <c r="B282" s="479" t="n"/>
      <c r="C282" s="479" t="n"/>
      <c r="D282" s="479" t="n"/>
      <c r="E282" s="479" t="n"/>
      <c r="F282" s="479" t="n"/>
      <c r="G282" s="479" t="n"/>
      <c r="H282" s="480" t="n"/>
      <c r="I282" s="554" t="n"/>
      <c r="J282" s="554" t="n"/>
      <c r="K282" s="555" t="n"/>
      <c r="L282" s="555" t="n"/>
      <c r="M282" s="479">
        <f>IF(K282="","",YEAR(K282))</f>
        <v/>
      </c>
      <c r="N282" s="479">
        <f>IF(K282="","",ROUNDUP(MONTH(K282)/3,0))</f>
        <v/>
      </c>
      <c r="O282" s="479">
        <f>IF(K282="","",IF(MONTH(K282)&lt;=6,1,2))</f>
        <v/>
      </c>
      <c r="P282" s="480">
        <f>IF(B282&lt;&gt;"Actif",0,H282*J282)</f>
        <v/>
      </c>
      <c r="Q282" s="480">
        <f>IF(B282&lt;&gt;"Actif",0,H282*I282)</f>
        <v/>
      </c>
      <c r="R282" s="480">
        <f>IF(B282&lt;&gt;"Actif",0,H282*I282*J282)</f>
        <v/>
      </c>
      <c r="S282" s="479" t="n"/>
    </row>
    <row r="283">
      <c r="A283" s="479">
        <f>IF(C283="","",ROW()-4)</f>
        <v/>
      </c>
      <c r="B283" s="479" t="n"/>
      <c r="C283" s="479" t="n"/>
      <c r="D283" s="479" t="n"/>
      <c r="E283" s="479" t="n"/>
      <c r="F283" s="479" t="n"/>
      <c r="G283" s="479" t="n"/>
      <c r="H283" s="480" t="n"/>
      <c r="I283" s="554" t="n"/>
      <c r="J283" s="554" t="n"/>
      <c r="K283" s="555" t="n"/>
      <c r="L283" s="555" t="n"/>
      <c r="M283" s="479">
        <f>IF(K283="","",YEAR(K283))</f>
        <v/>
      </c>
      <c r="N283" s="479">
        <f>IF(K283="","",ROUNDUP(MONTH(K283)/3,0))</f>
        <v/>
      </c>
      <c r="O283" s="479">
        <f>IF(K283="","",IF(MONTH(K283)&lt;=6,1,2))</f>
        <v/>
      </c>
      <c r="P283" s="480">
        <f>IF(B283&lt;&gt;"Actif",0,H283*J283)</f>
        <v/>
      </c>
      <c r="Q283" s="480">
        <f>IF(B283&lt;&gt;"Actif",0,H283*I283)</f>
        <v/>
      </c>
      <c r="R283" s="480">
        <f>IF(B283&lt;&gt;"Actif",0,H283*I283*J283)</f>
        <v/>
      </c>
      <c r="S283" s="479" t="n"/>
    </row>
    <row r="284">
      <c r="A284" s="479">
        <f>IF(C284="","",ROW()-4)</f>
        <v/>
      </c>
      <c r="B284" s="479" t="n"/>
      <c r="C284" s="479" t="n"/>
      <c r="D284" s="479" t="n"/>
      <c r="E284" s="479" t="n"/>
      <c r="F284" s="479" t="n"/>
      <c r="G284" s="479" t="n"/>
      <c r="H284" s="480" t="n"/>
      <c r="I284" s="554" t="n"/>
      <c r="J284" s="554" t="n"/>
      <c r="K284" s="555" t="n"/>
      <c r="L284" s="555" t="n"/>
      <c r="M284" s="479">
        <f>IF(K284="","",YEAR(K284))</f>
        <v/>
      </c>
      <c r="N284" s="479">
        <f>IF(K284="","",ROUNDUP(MONTH(K284)/3,0))</f>
        <v/>
      </c>
      <c r="O284" s="479">
        <f>IF(K284="","",IF(MONTH(K284)&lt;=6,1,2))</f>
        <v/>
      </c>
      <c r="P284" s="480">
        <f>IF(B284&lt;&gt;"Actif",0,H284*J284)</f>
        <v/>
      </c>
      <c r="Q284" s="480">
        <f>IF(B284&lt;&gt;"Actif",0,H284*I284)</f>
        <v/>
      </c>
      <c r="R284" s="480">
        <f>IF(B284&lt;&gt;"Actif",0,H284*I284*J284)</f>
        <v/>
      </c>
      <c r="S284" s="479" t="n"/>
    </row>
    <row r="285">
      <c r="A285" s="479">
        <f>IF(C285="","",ROW()-4)</f>
        <v/>
      </c>
      <c r="B285" s="479" t="n"/>
      <c r="C285" s="479" t="n"/>
      <c r="D285" s="479" t="n"/>
      <c r="E285" s="479" t="n"/>
      <c r="F285" s="479" t="n"/>
      <c r="G285" s="479" t="n"/>
      <c r="H285" s="480" t="n"/>
      <c r="I285" s="554" t="n"/>
      <c r="J285" s="554" t="n"/>
      <c r="K285" s="555" t="n"/>
      <c r="L285" s="555" t="n"/>
      <c r="M285" s="479">
        <f>IF(K285="","",YEAR(K285))</f>
        <v/>
      </c>
      <c r="N285" s="479">
        <f>IF(K285="","",ROUNDUP(MONTH(K285)/3,0))</f>
        <v/>
      </c>
      <c r="O285" s="479">
        <f>IF(K285="","",IF(MONTH(K285)&lt;=6,1,2))</f>
        <v/>
      </c>
      <c r="P285" s="480">
        <f>IF(B285&lt;&gt;"Actif",0,H285*J285)</f>
        <v/>
      </c>
      <c r="Q285" s="480">
        <f>IF(B285&lt;&gt;"Actif",0,H285*I285)</f>
        <v/>
      </c>
      <c r="R285" s="480">
        <f>IF(B285&lt;&gt;"Actif",0,H285*I285*J285)</f>
        <v/>
      </c>
      <c r="S285" s="479" t="n"/>
    </row>
    <row r="286">
      <c r="A286" s="479">
        <f>IF(C286="","",ROW()-4)</f>
        <v/>
      </c>
      <c r="B286" s="479" t="n"/>
      <c r="C286" s="479" t="n"/>
      <c r="D286" s="479" t="n"/>
      <c r="E286" s="479" t="n"/>
      <c r="F286" s="479" t="n"/>
      <c r="G286" s="479" t="n"/>
      <c r="H286" s="480" t="n"/>
      <c r="I286" s="554" t="n"/>
      <c r="J286" s="554" t="n"/>
      <c r="K286" s="555" t="n"/>
      <c r="L286" s="555" t="n"/>
      <c r="M286" s="479">
        <f>IF(K286="","",YEAR(K286))</f>
        <v/>
      </c>
      <c r="N286" s="479">
        <f>IF(K286="","",ROUNDUP(MONTH(K286)/3,0))</f>
        <v/>
      </c>
      <c r="O286" s="479">
        <f>IF(K286="","",IF(MONTH(K286)&lt;=6,1,2))</f>
        <v/>
      </c>
      <c r="P286" s="480">
        <f>IF(B286&lt;&gt;"Actif",0,H286*J286)</f>
        <v/>
      </c>
      <c r="Q286" s="480">
        <f>IF(B286&lt;&gt;"Actif",0,H286*I286)</f>
        <v/>
      </c>
      <c r="R286" s="480">
        <f>IF(B286&lt;&gt;"Actif",0,H286*I286*J286)</f>
        <v/>
      </c>
      <c r="S286" s="479" t="n"/>
    </row>
    <row r="287">
      <c r="A287" s="479">
        <f>IF(C287="","",ROW()-4)</f>
        <v/>
      </c>
      <c r="B287" s="479" t="n"/>
      <c r="C287" s="479" t="n"/>
      <c r="D287" s="479" t="n"/>
      <c r="E287" s="479" t="n"/>
      <c r="F287" s="479" t="n"/>
      <c r="G287" s="479" t="n"/>
      <c r="H287" s="480" t="n"/>
      <c r="I287" s="554" t="n"/>
      <c r="J287" s="554" t="n"/>
      <c r="K287" s="555" t="n"/>
      <c r="L287" s="555" t="n"/>
      <c r="M287" s="479">
        <f>IF(K287="","",YEAR(K287))</f>
        <v/>
      </c>
      <c r="N287" s="479">
        <f>IF(K287="","",ROUNDUP(MONTH(K287)/3,0))</f>
        <v/>
      </c>
      <c r="O287" s="479">
        <f>IF(K287="","",IF(MONTH(K287)&lt;=6,1,2))</f>
        <v/>
      </c>
      <c r="P287" s="480">
        <f>IF(B287&lt;&gt;"Actif",0,H287*J287)</f>
        <v/>
      </c>
      <c r="Q287" s="480">
        <f>IF(B287&lt;&gt;"Actif",0,H287*I287)</f>
        <v/>
      </c>
      <c r="R287" s="480">
        <f>IF(B287&lt;&gt;"Actif",0,H287*I287*J287)</f>
        <v/>
      </c>
      <c r="S287" s="479" t="n"/>
    </row>
    <row r="288">
      <c r="A288" s="479">
        <f>IF(C288="","",ROW()-4)</f>
        <v/>
      </c>
      <c r="B288" s="479" t="n"/>
      <c r="C288" s="479" t="n"/>
      <c r="D288" s="479" t="n"/>
      <c r="E288" s="479" t="n"/>
      <c r="F288" s="479" t="n"/>
      <c r="G288" s="479" t="n"/>
      <c r="H288" s="480" t="n"/>
      <c r="I288" s="554" t="n"/>
      <c r="J288" s="554" t="n"/>
      <c r="K288" s="555" t="n"/>
      <c r="L288" s="555" t="n"/>
      <c r="M288" s="479">
        <f>IF(K288="","",YEAR(K288))</f>
        <v/>
      </c>
      <c r="N288" s="479">
        <f>IF(K288="","",ROUNDUP(MONTH(K288)/3,0))</f>
        <v/>
      </c>
      <c r="O288" s="479">
        <f>IF(K288="","",IF(MONTH(K288)&lt;=6,1,2))</f>
        <v/>
      </c>
      <c r="P288" s="480">
        <f>IF(B288&lt;&gt;"Actif",0,H288*J288)</f>
        <v/>
      </c>
      <c r="Q288" s="480">
        <f>IF(B288&lt;&gt;"Actif",0,H288*I288)</f>
        <v/>
      </c>
      <c r="R288" s="480">
        <f>IF(B288&lt;&gt;"Actif",0,H288*I288*J288)</f>
        <v/>
      </c>
      <c r="S288" s="479" t="n"/>
    </row>
    <row r="289">
      <c r="A289" s="479">
        <f>IF(C289="","",ROW()-4)</f>
        <v/>
      </c>
      <c r="B289" s="479" t="n"/>
      <c r="C289" s="479" t="n"/>
      <c r="D289" s="479" t="n"/>
      <c r="E289" s="479" t="n"/>
      <c r="F289" s="479" t="n"/>
      <c r="G289" s="479" t="n"/>
      <c r="H289" s="480" t="n"/>
      <c r="I289" s="554" t="n"/>
      <c r="J289" s="554" t="n"/>
      <c r="K289" s="555" t="n"/>
      <c r="L289" s="555" t="n"/>
      <c r="M289" s="479">
        <f>IF(K289="","",YEAR(K289))</f>
        <v/>
      </c>
      <c r="N289" s="479">
        <f>IF(K289="","",ROUNDUP(MONTH(K289)/3,0))</f>
        <v/>
      </c>
      <c r="O289" s="479">
        <f>IF(K289="","",IF(MONTH(K289)&lt;=6,1,2))</f>
        <v/>
      </c>
      <c r="P289" s="480">
        <f>IF(B289&lt;&gt;"Actif",0,H289*J289)</f>
        <v/>
      </c>
      <c r="Q289" s="480">
        <f>IF(B289&lt;&gt;"Actif",0,H289*I289)</f>
        <v/>
      </c>
      <c r="R289" s="480">
        <f>IF(B289&lt;&gt;"Actif",0,H289*I289*J289)</f>
        <v/>
      </c>
      <c r="S289" s="479" t="n"/>
    </row>
    <row r="290">
      <c r="A290" s="479">
        <f>IF(C290="","",ROW()-4)</f>
        <v/>
      </c>
      <c r="B290" s="479" t="n"/>
      <c r="C290" s="479" t="n"/>
      <c r="D290" s="479" t="n"/>
      <c r="E290" s="479" t="n"/>
      <c r="F290" s="479" t="n"/>
      <c r="G290" s="479" t="n"/>
      <c r="H290" s="480" t="n"/>
      <c r="I290" s="554" t="n"/>
      <c r="J290" s="554" t="n"/>
      <c r="K290" s="555" t="n"/>
      <c r="L290" s="555" t="n"/>
      <c r="M290" s="479">
        <f>IF(K290="","",YEAR(K290))</f>
        <v/>
      </c>
      <c r="N290" s="479">
        <f>IF(K290="","",ROUNDUP(MONTH(K290)/3,0))</f>
        <v/>
      </c>
      <c r="O290" s="479">
        <f>IF(K290="","",IF(MONTH(K290)&lt;=6,1,2))</f>
        <v/>
      </c>
      <c r="P290" s="480">
        <f>IF(B290&lt;&gt;"Actif",0,H290*J290)</f>
        <v/>
      </c>
      <c r="Q290" s="480">
        <f>IF(B290&lt;&gt;"Actif",0,H290*I290)</f>
        <v/>
      </c>
      <c r="R290" s="480">
        <f>IF(B290&lt;&gt;"Actif",0,H290*I290*J290)</f>
        <v/>
      </c>
      <c r="S290" s="479" t="n"/>
    </row>
    <row r="291">
      <c r="A291" s="479">
        <f>IF(C291="","",ROW()-4)</f>
        <v/>
      </c>
      <c r="B291" s="479" t="n"/>
      <c r="C291" s="479" t="n"/>
      <c r="D291" s="479" t="n"/>
      <c r="E291" s="479" t="n"/>
      <c r="F291" s="479" t="n"/>
      <c r="G291" s="479" t="n"/>
      <c r="H291" s="480" t="n"/>
      <c r="I291" s="554" t="n"/>
      <c r="J291" s="554" t="n"/>
      <c r="K291" s="555" t="n"/>
      <c r="L291" s="555" t="n"/>
      <c r="M291" s="479">
        <f>IF(K291="","",YEAR(K291))</f>
        <v/>
      </c>
      <c r="N291" s="479">
        <f>IF(K291="","",ROUNDUP(MONTH(K291)/3,0))</f>
        <v/>
      </c>
      <c r="O291" s="479">
        <f>IF(K291="","",IF(MONTH(K291)&lt;=6,1,2))</f>
        <v/>
      </c>
      <c r="P291" s="480">
        <f>IF(B291&lt;&gt;"Actif",0,H291*J291)</f>
        <v/>
      </c>
      <c r="Q291" s="480">
        <f>IF(B291&lt;&gt;"Actif",0,H291*I291)</f>
        <v/>
      </c>
      <c r="R291" s="480">
        <f>IF(B291&lt;&gt;"Actif",0,H291*I291*J291)</f>
        <v/>
      </c>
      <c r="S291" s="479" t="n"/>
    </row>
    <row r="292">
      <c r="A292" s="479">
        <f>IF(C292="","",ROW()-4)</f>
        <v/>
      </c>
      <c r="B292" s="479" t="n"/>
      <c r="C292" s="479" t="n"/>
      <c r="D292" s="479" t="n"/>
      <c r="E292" s="479" t="n"/>
      <c r="F292" s="479" t="n"/>
      <c r="G292" s="479" t="n"/>
      <c r="H292" s="480" t="n"/>
      <c r="I292" s="554" t="n"/>
      <c r="J292" s="554" t="n"/>
      <c r="K292" s="555" t="n"/>
      <c r="L292" s="555" t="n"/>
      <c r="M292" s="479">
        <f>IF(K292="","",YEAR(K292))</f>
        <v/>
      </c>
      <c r="N292" s="479">
        <f>IF(K292="","",ROUNDUP(MONTH(K292)/3,0))</f>
        <v/>
      </c>
      <c r="O292" s="479">
        <f>IF(K292="","",IF(MONTH(K292)&lt;=6,1,2))</f>
        <v/>
      </c>
      <c r="P292" s="480">
        <f>IF(B292&lt;&gt;"Actif",0,H292*J292)</f>
        <v/>
      </c>
      <c r="Q292" s="480">
        <f>IF(B292&lt;&gt;"Actif",0,H292*I292)</f>
        <v/>
      </c>
      <c r="R292" s="480">
        <f>IF(B292&lt;&gt;"Actif",0,H292*I292*J292)</f>
        <v/>
      </c>
      <c r="S292" s="479" t="n"/>
    </row>
    <row r="293">
      <c r="A293" s="479">
        <f>IF(C293="","",ROW()-4)</f>
        <v/>
      </c>
      <c r="B293" s="479" t="n"/>
      <c r="C293" s="479" t="n"/>
      <c r="D293" s="479" t="n"/>
      <c r="E293" s="479" t="n"/>
      <c r="F293" s="479" t="n"/>
      <c r="G293" s="479" t="n"/>
      <c r="H293" s="480" t="n"/>
      <c r="I293" s="554" t="n"/>
      <c r="J293" s="554" t="n"/>
      <c r="K293" s="555" t="n"/>
      <c r="L293" s="555" t="n"/>
      <c r="M293" s="479">
        <f>IF(K293="","",YEAR(K293))</f>
        <v/>
      </c>
      <c r="N293" s="479">
        <f>IF(K293="","",ROUNDUP(MONTH(K293)/3,0))</f>
        <v/>
      </c>
      <c r="O293" s="479">
        <f>IF(K293="","",IF(MONTH(K293)&lt;=6,1,2))</f>
        <v/>
      </c>
      <c r="P293" s="480">
        <f>IF(B293&lt;&gt;"Actif",0,H293*J293)</f>
        <v/>
      </c>
      <c r="Q293" s="480">
        <f>IF(B293&lt;&gt;"Actif",0,H293*I293)</f>
        <v/>
      </c>
      <c r="R293" s="480">
        <f>IF(B293&lt;&gt;"Actif",0,H293*I293*J293)</f>
        <v/>
      </c>
      <c r="S293" s="479" t="n"/>
    </row>
    <row r="294">
      <c r="A294" s="479">
        <f>IF(C294="","",ROW()-4)</f>
        <v/>
      </c>
      <c r="B294" s="479" t="n"/>
      <c r="C294" s="479" t="n"/>
      <c r="D294" s="479" t="n"/>
      <c r="E294" s="479" t="n"/>
      <c r="F294" s="479" t="n"/>
      <c r="G294" s="479" t="n"/>
      <c r="H294" s="480" t="n"/>
      <c r="I294" s="554" t="n"/>
      <c r="J294" s="554" t="n"/>
      <c r="K294" s="555" t="n"/>
      <c r="L294" s="555" t="n"/>
      <c r="M294" s="479">
        <f>IF(K294="","",YEAR(K294))</f>
        <v/>
      </c>
      <c r="N294" s="479">
        <f>IF(K294="","",ROUNDUP(MONTH(K294)/3,0))</f>
        <v/>
      </c>
      <c r="O294" s="479">
        <f>IF(K294="","",IF(MONTH(K294)&lt;=6,1,2))</f>
        <v/>
      </c>
      <c r="P294" s="480">
        <f>IF(B294&lt;&gt;"Actif",0,H294*J294)</f>
        <v/>
      </c>
      <c r="Q294" s="480">
        <f>IF(B294&lt;&gt;"Actif",0,H294*I294)</f>
        <v/>
      </c>
      <c r="R294" s="480">
        <f>IF(B294&lt;&gt;"Actif",0,H294*I294*J294)</f>
        <v/>
      </c>
      <c r="S294" s="479" t="n"/>
    </row>
    <row r="295">
      <c r="A295" s="479">
        <f>IF(C295="","",ROW()-4)</f>
        <v/>
      </c>
      <c r="B295" s="479" t="n"/>
      <c r="C295" s="479" t="n"/>
      <c r="D295" s="479" t="n"/>
      <c r="E295" s="479" t="n"/>
      <c r="F295" s="479" t="n"/>
      <c r="G295" s="479" t="n"/>
      <c r="H295" s="480" t="n"/>
      <c r="I295" s="554" t="n"/>
      <c r="J295" s="554" t="n"/>
      <c r="K295" s="555" t="n"/>
      <c r="L295" s="555" t="n"/>
      <c r="M295" s="479">
        <f>IF(K295="","",YEAR(K295))</f>
        <v/>
      </c>
      <c r="N295" s="479">
        <f>IF(K295="","",ROUNDUP(MONTH(K295)/3,0))</f>
        <v/>
      </c>
      <c r="O295" s="479">
        <f>IF(K295="","",IF(MONTH(K295)&lt;=6,1,2))</f>
        <v/>
      </c>
      <c r="P295" s="480">
        <f>IF(B295&lt;&gt;"Actif",0,H295*J295)</f>
        <v/>
      </c>
      <c r="Q295" s="480">
        <f>IF(B295&lt;&gt;"Actif",0,H295*I295)</f>
        <v/>
      </c>
      <c r="R295" s="480">
        <f>IF(B295&lt;&gt;"Actif",0,H295*I295*J295)</f>
        <v/>
      </c>
      <c r="S295" s="479" t="n"/>
    </row>
    <row r="296">
      <c r="A296" s="479">
        <f>IF(C296="","",ROW()-4)</f>
        <v/>
      </c>
      <c r="B296" s="479" t="n"/>
      <c r="C296" s="479" t="n"/>
      <c r="D296" s="479" t="n"/>
      <c r="E296" s="479" t="n"/>
      <c r="F296" s="479" t="n"/>
      <c r="G296" s="479" t="n"/>
      <c r="H296" s="480" t="n"/>
      <c r="I296" s="554" t="n"/>
      <c r="J296" s="554" t="n"/>
      <c r="K296" s="555" t="n"/>
      <c r="L296" s="555" t="n"/>
      <c r="M296" s="479">
        <f>IF(K296="","",YEAR(K296))</f>
        <v/>
      </c>
      <c r="N296" s="479">
        <f>IF(K296="","",ROUNDUP(MONTH(K296)/3,0))</f>
        <v/>
      </c>
      <c r="O296" s="479">
        <f>IF(K296="","",IF(MONTH(K296)&lt;=6,1,2))</f>
        <v/>
      </c>
      <c r="P296" s="480">
        <f>IF(B296&lt;&gt;"Actif",0,H296*J296)</f>
        <v/>
      </c>
      <c r="Q296" s="480">
        <f>IF(B296&lt;&gt;"Actif",0,H296*I296)</f>
        <v/>
      </c>
      <c r="R296" s="480">
        <f>IF(B296&lt;&gt;"Actif",0,H296*I296*J296)</f>
        <v/>
      </c>
      <c r="S296" s="479" t="n"/>
    </row>
    <row r="297">
      <c r="A297" s="479">
        <f>IF(C297="","",ROW()-4)</f>
        <v/>
      </c>
      <c r="B297" s="479" t="n"/>
      <c r="C297" s="479" t="n"/>
      <c r="D297" s="479" t="n"/>
      <c r="E297" s="479" t="n"/>
      <c r="F297" s="479" t="n"/>
      <c r="G297" s="479" t="n"/>
      <c r="H297" s="480" t="n"/>
      <c r="I297" s="554" t="n"/>
      <c r="J297" s="554" t="n"/>
      <c r="K297" s="555" t="n"/>
      <c r="L297" s="555" t="n"/>
      <c r="M297" s="479">
        <f>IF(K297="","",YEAR(K297))</f>
        <v/>
      </c>
      <c r="N297" s="479">
        <f>IF(K297="","",ROUNDUP(MONTH(K297)/3,0))</f>
        <v/>
      </c>
      <c r="O297" s="479">
        <f>IF(K297="","",IF(MONTH(K297)&lt;=6,1,2))</f>
        <v/>
      </c>
      <c r="P297" s="480">
        <f>IF(B297&lt;&gt;"Actif",0,H297*J297)</f>
        <v/>
      </c>
      <c r="Q297" s="480">
        <f>IF(B297&lt;&gt;"Actif",0,H297*I297)</f>
        <v/>
      </c>
      <c r="R297" s="480">
        <f>IF(B297&lt;&gt;"Actif",0,H297*I297*J297)</f>
        <v/>
      </c>
      <c r="S297" s="479" t="n"/>
    </row>
    <row r="298">
      <c r="A298" s="479">
        <f>IF(C298="","",ROW()-4)</f>
        <v/>
      </c>
      <c r="B298" s="479" t="n"/>
      <c r="C298" s="479" t="n"/>
      <c r="D298" s="479" t="n"/>
      <c r="E298" s="479" t="n"/>
      <c r="F298" s="479" t="n"/>
      <c r="G298" s="479" t="n"/>
      <c r="H298" s="480" t="n"/>
      <c r="I298" s="554" t="n"/>
      <c r="J298" s="554" t="n"/>
      <c r="K298" s="555" t="n"/>
      <c r="L298" s="555" t="n"/>
      <c r="M298" s="479">
        <f>IF(K298="","",YEAR(K298))</f>
        <v/>
      </c>
      <c r="N298" s="479">
        <f>IF(K298="","",ROUNDUP(MONTH(K298)/3,0))</f>
        <v/>
      </c>
      <c r="O298" s="479">
        <f>IF(K298="","",IF(MONTH(K298)&lt;=6,1,2))</f>
        <v/>
      </c>
      <c r="P298" s="480">
        <f>IF(B298&lt;&gt;"Actif",0,H298*J298)</f>
        <v/>
      </c>
      <c r="Q298" s="480">
        <f>IF(B298&lt;&gt;"Actif",0,H298*I298)</f>
        <v/>
      </c>
      <c r="R298" s="480">
        <f>IF(B298&lt;&gt;"Actif",0,H298*I298*J298)</f>
        <v/>
      </c>
      <c r="S298" s="479" t="n"/>
    </row>
    <row r="299">
      <c r="A299" s="479">
        <f>IF(C299="","",ROW()-4)</f>
        <v/>
      </c>
      <c r="B299" s="479" t="n"/>
      <c r="C299" s="479" t="n"/>
      <c r="D299" s="479" t="n"/>
      <c r="E299" s="479" t="n"/>
      <c r="F299" s="479" t="n"/>
      <c r="G299" s="479" t="n"/>
      <c r="H299" s="480" t="n"/>
      <c r="I299" s="554" t="n"/>
      <c r="J299" s="554" t="n"/>
      <c r="K299" s="555" t="n"/>
      <c r="L299" s="555" t="n"/>
      <c r="M299" s="479">
        <f>IF(K299="","",YEAR(K299))</f>
        <v/>
      </c>
      <c r="N299" s="479">
        <f>IF(K299="","",ROUNDUP(MONTH(K299)/3,0))</f>
        <v/>
      </c>
      <c r="O299" s="479">
        <f>IF(K299="","",IF(MONTH(K299)&lt;=6,1,2))</f>
        <v/>
      </c>
      <c r="P299" s="480">
        <f>IF(B299&lt;&gt;"Actif",0,H299*J299)</f>
        <v/>
      </c>
      <c r="Q299" s="480">
        <f>IF(B299&lt;&gt;"Actif",0,H299*I299)</f>
        <v/>
      </c>
      <c r="R299" s="480">
        <f>IF(B299&lt;&gt;"Actif",0,H299*I299*J299)</f>
        <v/>
      </c>
      <c r="S299" s="479" t="n"/>
    </row>
    <row r="300">
      <c r="A300" s="479">
        <f>IF(C300="","",ROW()-4)</f>
        <v/>
      </c>
      <c r="B300" s="479" t="n"/>
      <c r="C300" s="479" t="n"/>
      <c r="D300" s="479" t="n"/>
      <c r="E300" s="479" t="n"/>
      <c r="F300" s="479" t="n"/>
      <c r="G300" s="479" t="n"/>
      <c r="H300" s="480" t="n"/>
      <c r="I300" s="554" t="n"/>
      <c r="J300" s="554" t="n"/>
      <c r="K300" s="555" t="n"/>
      <c r="L300" s="555" t="n"/>
      <c r="M300" s="479">
        <f>IF(K300="","",YEAR(K300))</f>
        <v/>
      </c>
      <c r="N300" s="479">
        <f>IF(K300="","",ROUNDUP(MONTH(K300)/3,0))</f>
        <v/>
      </c>
      <c r="O300" s="479">
        <f>IF(K300="","",IF(MONTH(K300)&lt;=6,1,2))</f>
        <v/>
      </c>
      <c r="P300" s="480">
        <f>IF(B300&lt;&gt;"Actif",0,H300*J300)</f>
        <v/>
      </c>
      <c r="Q300" s="480">
        <f>IF(B300&lt;&gt;"Actif",0,H300*I300)</f>
        <v/>
      </c>
      <c r="R300" s="480">
        <f>IF(B300&lt;&gt;"Actif",0,H300*I300*J300)</f>
        <v/>
      </c>
      <c r="S300" s="479" t="n"/>
    </row>
    <row r="301">
      <c r="A301" s="479">
        <f>IF(C301="","",ROW()-4)</f>
        <v/>
      </c>
      <c r="B301" s="479" t="n"/>
      <c r="C301" s="479" t="n"/>
      <c r="D301" s="479" t="n"/>
      <c r="E301" s="479" t="n"/>
      <c r="F301" s="479" t="n"/>
      <c r="G301" s="479" t="n"/>
      <c r="H301" s="480" t="n"/>
      <c r="I301" s="554" t="n"/>
      <c r="J301" s="554" t="n"/>
      <c r="K301" s="555" t="n"/>
      <c r="L301" s="555" t="n"/>
      <c r="M301" s="479">
        <f>IF(K301="","",YEAR(K301))</f>
        <v/>
      </c>
      <c r="N301" s="479">
        <f>IF(K301="","",ROUNDUP(MONTH(K301)/3,0))</f>
        <v/>
      </c>
      <c r="O301" s="479">
        <f>IF(K301="","",IF(MONTH(K301)&lt;=6,1,2))</f>
        <v/>
      </c>
      <c r="P301" s="480">
        <f>IF(B301&lt;&gt;"Actif",0,H301*J301)</f>
        <v/>
      </c>
      <c r="Q301" s="480">
        <f>IF(B301&lt;&gt;"Actif",0,H301*I301)</f>
        <v/>
      </c>
      <c r="R301" s="480">
        <f>IF(B301&lt;&gt;"Actif",0,H301*I301*J301)</f>
        <v/>
      </c>
      <c r="S301" s="479" t="n"/>
    </row>
    <row r="302">
      <c r="A302" s="479">
        <f>IF(C302="","",ROW()-4)</f>
        <v/>
      </c>
      <c r="B302" s="479" t="n"/>
      <c r="C302" s="479" t="n"/>
      <c r="D302" s="479" t="n"/>
      <c r="E302" s="479" t="n"/>
      <c r="F302" s="479" t="n"/>
      <c r="G302" s="479" t="n"/>
      <c r="H302" s="480" t="n"/>
      <c r="I302" s="554" t="n"/>
      <c r="J302" s="554" t="n"/>
      <c r="K302" s="555" t="n"/>
      <c r="L302" s="555" t="n"/>
      <c r="M302" s="479">
        <f>IF(K302="","",YEAR(K302))</f>
        <v/>
      </c>
      <c r="N302" s="479">
        <f>IF(K302="","",ROUNDUP(MONTH(K302)/3,0))</f>
        <v/>
      </c>
      <c r="O302" s="479">
        <f>IF(K302="","",IF(MONTH(K302)&lt;=6,1,2))</f>
        <v/>
      </c>
      <c r="P302" s="480">
        <f>IF(B302&lt;&gt;"Actif",0,H302*J302)</f>
        <v/>
      </c>
      <c r="Q302" s="480">
        <f>IF(B302&lt;&gt;"Actif",0,H302*I302)</f>
        <v/>
      </c>
      <c r="R302" s="480">
        <f>IF(B302&lt;&gt;"Actif",0,H302*I302*J302)</f>
        <v/>
      </c>
      <c r="S302" s="479" t="n"/>
    </row>
    <row r="303">
      <c r="A303" s="479">
        <f>IF(C303="","",ROW()-4)</f>
        <v/>
      </c>
      <c r="B303" s="479" t="n"/>
      <c r="C303" s="479" t="n"/>
      <c r="D303" s="479" t="n"/>
      <c r="E303" s="479" t="n"/>
      <c r="F303" s="479" t="n"/>
      <c r="G303" s="479" t="n"/>
      <c r="H303" s="480" t="n"/>
      <c r="I303" s="554" t="n"/>
      <c r="J303" s="554" t="n"/>
      <c r="K303" s="555" t="n"/>
      <c r="L303" s="555" t="n"/>
      <c r="M303" s="479">
        <f>IF(K303="","",YEAR(K303))</f>
        <v/>
      </c>
      <c r="N303" s="479">
        <f>IF(K303="","",ROUNDUP(MONTH(K303)/3,0))</f>
        <v/>
      </c>
      <c r="O303" s="479">
        <f>IF(K303="","",IF(MONTH(K303)&lt;=6,1,2))</f>
        <v/>
      </c>
      <c r="P303" s="480">
        <f>IF(B303&lt;&gt;"Actif",0,H303*J303)</f>
        <v/>
      </c>
      <c r="Q303" s="480">
        <f>IF(B303&lt;&gt;"Actif",0,H303*I303)</f>
        <v/>
      </c>
      <c r="R303" s="480">
        <f>IF(B303&lt;&gt;"Actif",0,H303*I303*J303)</f>
        <v/>
      </c>
      <c r="S303" s="479" t="n"/>
    </row>
    <row r="304">
      <c r="A304" s="479">
        <f>IF(C304="","",ROW()-4)</f>
        <v/>
      </c>
      <c r="B304" s="479" t="n"/>
      <c r="C304" s="479" t="n"/>
      <c r="D304" s="479" t="n"/>
      <c r="E304" s="479" t="n"/>
      <c r="F304" s="479" t="n"/>
      <c r="G304" s="479" t="n"/>
      <c r="H304" s="480" t="n"/>
      <c r="I304" s="554" t="n"/>
      <c r="J304" s="554" t="n"/>
      <c r="K304" s="555" t="n"/>
      <c r="L304" s="555" t="n"/>
      <c r="M304" s="479">
        <f>IF(K304="","",YEAR(K304))</f>
        <v/>
      </c>
      <c r="N304" s="479">
        <f>IF(K304="","",ROUNDUP(MONTH(K304)/3,0))</f>
        <v/>
      </c>
      <c r="O304" s="479">
        <f>IF(K304="","",IF(MONTH(K304)&lt;=6,1,2))</f>
        <v/>
      </c>
      <c r="P304" s="480">
        <f>IF(B304&lt;&gt;"Actif",0,H304*J304)</f>
        <v/>
      </c>
      <c r="Q304" s="480">
        <f>IF(B304&lt;&gt;"Actif",0,H304*I304)</f>
        <v/>
      </c>
      <c r="R304" s="480">
        <f>IF(B304&lt;&gt;"Actif",0,H304*I304*J304)</f>
        <v/>
      </c>
      <c r="S304" s="479" t="n"/>
    </row>
    <row r="305">
      <c r="A305" s="479">
        <f>IF(C305="","",ROW()-4)</f>
        <v/>
      </c>
      <c r="B305" s="479" t="n"/>
      <c r="C305" s="479" t="n"/>
      <c r="D305" s="479" t="n"/>
      <c r="E305" s="479" t="n"/>
      <c r="F305" s="479" t="n"/>
      <c r="G305" s="479" t="n"/>
      <c r="H305" s="480" t="n"/>
      <c r="I305" s="554" t="n"/>
      <c r="J305" s="554" t="n"/>
      <c r="K305" s="555" t="n"/>
      <c r="L305" s="555" t="n"/>
      <c r="M305" s="479">
        <f>IF(K305="","",YEAR(K305))</f>
        <v/>
      </c>
      <c r="N305" s="479">
        <f>IF(K305="","",ROUNDUP(MONTH(K305)/3,0))</f>
        <v/>
      </c>
      <c r="O305" s="479">
        <f>IF(K305="","",IF(MONTH(K305)&lt;=6,1,2))</f>
        <v/>
      </c>
      <c r="P305" s="480">
        <f>IF(B305&lt;&gt;"Actif",0,H305*J305)</f>
        <v/>
      </c>
      <c r="Q305" s="480">
        <f>IF(B305&lt;&gt;"Actif",0,H305*I305)</f>
        <v/>
      </c>
      <c r="R305" s="480">
        <f>IF(B305&lt;&gt;"Actif",0,H305*I305*J305)</f>
        <v/>
      </c>
      <c r="S305" s="479" t="n"/>
    </row>
    <row r="306">
      <c r="A306" s="479">
        <f>IF(C306="","",ROW()-4)</f>
        <v/>
      </c>
      <c r="B306" s="479" t="n"/>
      <c r="C306" s="479" t="n"/>
      <c r="D306" s="479" t="n"/>
      <c r="E306" s="479" t="n"/>
      <c r="F306" s="479" t="n"/>
      <c r="G306" s="479" t="n"/>
      <c r="H306" s="480" t="n"/>
      <c r="I306" s="554" t="n"/>
      <c r="J306" s="554" t="n"/>
      <c r="K306" s="555" t="n"/>
      <c r="L306" s="555" t="n"/>
      <c r="M306" s="479">
        <f>IF(K306="","",YEAR(K306))</f>
        <v/>
      </c>
      <c r="N306" s="479">
        <f>IF(K306="","",ROUNDUP(MONTH(K306)/3,0))</f>
        <v/>
      </c>
      <c r="O306" s="479">
        <f>IF(K306="","",IF(MONTH(K306)&lt;=6,1,2))</f>
        <v/>
      </c>
      <c r="P306" s="480">
        <f>IF(B306&lt;&gt;"Actif",0,H306*J306)</f>
        <v/>
      </c>
      <c r="Q306" s="480">
        <f>IF(B306&lt;&gt;"Actif",0,H306*I306)</f>
        <v/>
      </c>
      <c r="R306" s="480">
        <f>IF(B306&lt;&gt;"Actif",0,H306*I306*J306)</f>
        <v/>
      </c>
      <c r="S306" s="479" t="n"/>
    </row>
    <row r="307">
      <c r="A307" s="479">
        <f>IF(C307="","",ROW()-4)</f>
        <v/>
      </c>
      <c r="B307" s="479" t="n"/>
      <c r="C307" s="479" t="n"/>
      <c r="D307" s="479" t="n"/>
      <c r="E307" s="479" t="n"/>
      <c r="F307" s="479" t="n"/>
      <c r="G307" s="479" t="n"/>
      <c r="H307" s="480" t="n"/>
      <c r="I307" s="554" t="n"/>
      <c r="J307" s="554" t="n"/>
      <c r="K307" s="555" t="n"/>
      <c r="L307" s="555" t="n"/>
      <c r="M307" s="479">
        <f>IF(K307="","",YEAR(K307))</f>
        <v/>
      </c>
      <c r="N307" s="479">
        <f>IF(K307="","",ROUNDUP(MONTH(K307)/3,0))</f>
        <v/>
      </c>
      <c r="O307" s="479">
        <f>IF(K307="","",IF(MONTH(K307)&lt;=6,1,2))</f>
        <v/>
      </c>
      <c r="P307" s="480">
        <f>IF(B307&lt;&gt;"Actif",0,H307*J307)</f>
        <v/>
      </c>
      <c r="Q307" s="480">
        <f>IF(B307&lt;&gt;"Actif",0,H307*I307)</f>
        <v/>
      </c>
      <c r="R307" s="480">
        <f>IF(B307&lt;&gt;"Actif",0,H307*I307*J307)</f>
        <v/>
      </c>
      <c r="S307" s="479" t="n"/>
    </row>
    <row r="308">
      <c r="A308" s="479">
        <f>IF(C308="","",ROW()-4)</f>
        <v/>
      </c>
      <c r="B308" s="479" t="n"/>
      <c r="C308" s="479" t="n"/>
      <c r="D308" s="479" t="n"/>
      <c r="E308" s="479" t="n"/>
      <c r="F308" s="479" t="n"/>
      <c r="G308" s="479" t="n"/>
      <c r="H308" s="480" t="n"/>
      <c r="I308" s="554" t="n"/>
      <c r="J308" s="554" t="n"/>
      <c r="K308" s="555" t="n"/>
      <c r="L308" s="555" t="n"/>
      <c r="M308" s="479">
        <f>IF(K308="","",YEAR(K308))</f>
        <v/>
      </c>
      <c r="N308" s="479">
        <f>IF(K308="","",ROUNDUP(MONTH(K308)/3,0))</f>
        <v/>
      </c>
      <c r="O308" s="479">
        <f>IF(K308="","",IF(MONTH(K308)&lt;=6,1,2))</f>
        <v/>
      </c>
      <c r="P308" s="480">
        <f>IF(B308&lt;&gt;"Actif",0,H308*J308)</f>
        <v/>
      </c>
      <c r="Q308" s="480">
        <f>IF(B308&lt;&gt;"Actif",0,H308*I308)</f>
        <v/>
      </c>
      <c r="R308" s="480">
        <f>IF(B308&lt;&gt;"Actif",0,H308*I308*J308)</f>
        <v/>
      </c>
      <c r="S308" s="479" t="n"/>
    </row>
    <row r="309">
      <c r="A309" s="479">
        <f>IF(C309="","",ROW()-4)</f>
        <v/>
      </c>
      <c r="B309" s="479" t="n"/>
      <c r="C309" s="479" t="n"/>
      <c r="D309" s="479" t="n"/>
      <c r="E309" s="479" t="n"/>
      <c r="F309" s="479" t="n"/>
      <c r="G309" s="479" t="n"/>
      <c r="H309" s="480" t="n"/>
      <c r="I309" s="554" t="n"/>
      <c r="J309" s="554" t="n"/>
      <c r="K309" s="555" t="n"/>
      <c r="L309" s="555" t="n"/>
      <c r="M309" s="479">
        <f>IF(K309="","",YEAR(K309))</f>
        <v/>
      </c>
      <c r="N309" s="479">
        <f>IF(K309="","",ROUNDUP(MONTH(K309)/3,0))</f>
        <v/>
      </c>
      <c r="O309" s="479">
        <f>IF(K309="","",IF(MONTH(K309)&lt;=6,1,2))</f>
        <v/>
      </c>
      <c r="P309" s="480">
        <f>IF(B309&lt;&gt;"Actif",0,H309*J309)</f>
        <v/>
      </c>
      <c r="Q309" s="480">
        <f>IF(B309&lt;&gt;"Actif",0,H309*I309)</f>
        <v/>
      </c>
      <c r="R309" s="480">
        <f>IF(B309&lt;&gt;"Actif",0,H309*I309*J309)</f>
        <v/>
      </c>
      <c r="S309" s="479" t="n"/>
    </row>
    <row r="310">
      <c r="A310" s="479">
        <f>IF(C310="","",ROW()-4)</f>
        <v/>
      </c>
      <c r="B310" s="479" t="n"/>
      <c r="C310" s="479" t="n"/>
      <c r="D310" s="479" t="n"/>
      <c r="E310" s="479" t="n"/>
      <c r="F310" s="479" t="n"/>
      <c r="G310" s="479" t="n"/>
      <c r="H310" s="480" t="n"/>
      <c r="I310" s="554" t="n"/>
      <c r="J310" s="554" t="n"/>
      <c r="K310" s="555" t="n"/>
      <c r="L310" s="555" t="n"/>
      <c r="M310" s="479">
        <f>IF(K310="","",YEAR(K310))</f>
        <v/>
      </c>
      <c r="N310" s="479">
        <f>IF(K310="","",ROUNDUP(MONTH(K310)/3,0))</f>
        <v/>
      </c>
      <c r="O310" s="479">
        <f>IF(K310="","",IF(MONTH(K310)&lt;=6,1,2))</f>
        <v/>
      </c>
      <c r="P310" s="480">
        <f>IF(B310&lt;&gt;"Actif",0,H310*J310)</f>
        <v/>
      </c>
      <c r="Q310" s="480">
        <f>IF(B310&lt;&gt;"Actif",0,H310*I310)</f>
        <v/>
      </c>
      <c r="R310" s="480">
        <f>IF(B310&lt;&gt;"Actif",0,H310*I310*J310)</f>
        <v/>
      </c>
      <c r="S310" s="479" t="n"/>
    </row>
    <row r="311">
      <c r="A311" s="479">
        <f>IF(C311="","",ROW()-4)</f>
        <v/>
      </c>
      <c r="B311" s="479" t="n"/>
      <c r="C311" s="479" t="n"/>
      <c r="D311" s="479" t="n"/>
      <c r="E311" s="479" t="n"/>
      <c r="F311" s="479" t="n"/>
      <c r="G311" s="479" t="n"/>
      <c r="H311" s="480" t="n"/>
      <c r="I311" s="554" t="n"/>
      <c r="J311" s="554" t="n"/>
      <c r="K311" s="555" t="n"/>
      <c r="L311" s="555" t="n"/>
      <c r="M311" s="479">
        <f>IF(K311="","",YEAR(K311))</f>
        <v/>
      </c>
      <c r="N311" s="479">
        <f>IF(K311="","",ROUNDUP(MONTH(K311)/3,0))</f>
        <v/>
      </c>
      <c r="O311" s="479">
        <f>IF(K311="","",IF(MONTH(K311)&lt;=6,1,2))</f>
        <v/>
      </c>
      <c r="P311" s="480">
        <f>IF(B311&lt;&gt;"Actif",0,H311*J311)</f>
        <v/>
      </c>
      <c r="Q311" s="480">
        <f>IF(B311&lt;&gt;"Actif",0,H311*I311)</f>
        <v/>
      </c>
      <c r="R311" s="480">
        <f>IF(B311&lt;&gt;"Actif",0,H311*I311*J311)</f>
        <v/>
      </c>
      <c r="S311" s="479" t="n"/>
    </row>
    <row r="312">
      <c r="A312" s="479">
        <f>IF(C312="","",ROW()-4)</f>
        <v/>
      </c>
      <c r="B312" s="479" t="n"/>
      <c r="C312" s="479" t="n"/>
      <c r="D312" s="479" t="n"/>
      <c r="E312" s="479" t="n"/>
      <c r="F312" s="479" t="n"/>
      <c r="G312" s="479" t="n"/>
      <c r="H312" s="480" t="n"/>
      <c r="I312" s="554" t="n"/>
      <c r="J312" s="554" t="n"/>
      <c r="K312" s="555" t="n"/>
      <c r="L312" s="555" t="n"/>
      <c r="M312" s="479">
        <f>IF(K312="","",YEAR(K312))</f>
        <v/>
      </c>
      <c r="N312" s="479">
        <f>IF(K312="","",ROUNDUP(MONTH(K312)/3,0))</f>
        <v/>
      </c>
      <c r="O312" s="479">
        <f>IF(K312="","",IF(MONTH(K312)&lt;=6,1,2))</f>
        <v/>
      </c>
      <c r="P312" s="480">
        <f>IF(B312&lt;&gt;"Actif",0,H312*J312)</f>
        <v/>
      </c>
      <c r="Q312" s="480">
        <f>IF(B312&lt;&gt;"Actif",0,H312*I312)</f>
        <v/>
      </c>
      <c r="R312" s="480">
        <f>IF(B312&lt;&gt;"Actif",0,H312*I312*J312)</f>
        <v/>
      </c>
      <c r="S312" s="479" t="n"/>
    </row>
    <row r="313">
      <c r="A313" s="479">
        <f>IF(C313="","",ROW()-4)</f>
        <v/>
      </c>
      <c r="B313" s="479" t="n"/>
      <c r="C313" s="479" t="n"/>
      <c r="D313" s="479" t="n"/>
      <c r="E313" s="479" t="n"/>
      <c r="F313" s="479" t="n"/>
      <c r="G313" s="479" t="n"/>
      <c r="H313" s="480" t="n"/>
      <c r="I313" s="554" t="n"/>
      <c r="J313" s="554" t="n"/>
      <c r="K313" s="555" t="n"/>
      <c r="L313" s="555" t="n"/>
      <c r="M313" s="479">
        <f>IF(K313="","",YEAR(K313))</f>
        <v/>
      </c>
      <c r="N313" s="479">
        <f>IF(K313="","",ROUNDUP(MONTH(K313)/3,0))</f>
        <v/>
      </c>
      <c r="O313" s="479">
        <f>IF(K313="","",IF(MONTH(K313)&lt;=6,1,2))</f>
        <v/>
      </c>
      <c r="P313" s="480">
        <f>IF(B313&lt;&gt;"Actif",0,H313*J313)</f>
        <v/>
      </c>
      <c r="Q313" s="480">
        <f>IF(B313&lt;&gt;"Actif",0,H313*I313)</f>
        <v/>
      </c>
      <c r="R313" s="480">
        <f>IF(B313&lt;&gt;"Actif",0,H313*I313*J313)</f>
        <v/>
      </c>
      <c r="S313" s="479" t="n"/>
    </row>
    <row r="314">
      <c r="A314" s="479">
        <f>IF(C314="","",ROW()-4)</f>
        <v/>
      </c>
      <c r="B314" s="479" t="n"/>
      <c r="C314" s="479" t="n"/>
      <c r="D314" s="479" t="n"/>
      <c r="E314" s="479" t="n"/>
      <c r="F314" s="479" t="n"/>
      <c r="G314" s="479" t="n"/>
      <c r="H314" s="480" t="n"/>
      <c r="I314" s="554" t="n"/>
      <c r="J314" s="554" t="n"/>
      <c r="K314" s="555" t="n"/>
      <c r="L314" s="555" t="n"/>
      <c r="M314" s="479">
        <f>IF(K314="","",YEAR(K314))</f>
        <v/>
      </c>
      <c r="N314" s="479">
        <f>IF(K314="","",ROUNDUP(MONTH(K314)/3,0))</f>
        <v/>
      </c>
      <c r="O314" s="479">
        <f>IF(K314="","",IF(MONTH(K314)&lt;=6,1,2))</f>
        <v/>
      </c>
      <c r="P314" s="480">
        <f>IF(B314&lt;&gt;"Actif",0,H314*J314)</f>
        <v/>
      </c>
      <c r="Q314" s="480">
        <f>IF(B314&lt;&gt;"Actif",0,H314*I314)</f>
        <v/>
      </c>
      <c r="R314" s="480">
        <f>IF(B314&lt;&gt;"Actif",0,H314*I314*J314)</f>
        <v/>
      </c>
      <c r="S314" s="479" t="n"/>
    </row>
    <row r="315">
      <c r="A315" s="479">
        <f>IF(C315="","",ROW()-4)</f>
        <v/>
      </c>
      <c r="B315" s="479" t="n"/>
      <c r="C315" s="479" t="n"/>
      <c r="D315" s="479" t="n"/>
      <c r="E315" s="479" t="n"/>
      <c r="F315" s="479" t="n"/>
      <c r="G315" s="479" t="n"/>
      <c r="H315" s="480" t="n"/>
      <c r="I315" s="554" t="n"/>
      <c r="J315" s="554" t="n"/>
      <c r="K315" s="555" t="n"/>
      <c r="L315" s="555" t="n"/>
      <c r="M315" s="479">
        <f>IF(K315="","",YEAR(K315))</f>
        <v/>
      </c>
      <c r="N315" s="479">
        <f>IF(K315="","",ROUNDUP(MONTH(K315)/3,0))</f>
        <v/>
      </c>
      <c r="O315" s="479">
        <f>IF(K315="","",IF(MONTH(K315)&lt;=6,1,2))</f>
        <v/>
      </c>
      <c r="P315" s="480">
        <f>IF(B315&lt;&gt;"Actif",0,H315*J315)</f>
        <v/>
      </c>
      <c r="Q315" s="480">
        <f>IF(B315&lt;&gt;"Actif",0,H315*I315)</f>
        <v/>
      </c>
      <c r="R315" s="480">
        <f>IF(B315&lt;&gt;"Actif",0,H315*I315*J315)</f>
        <v/>
      </c>
      <c r="S315" s="479" t="n"/>
    </row>
    <row r="316">
      <c r="A316" s="479">
        <f>IF(C316="","",ROW()-4)</f>
        <v/>
      </c>
      <c r="B316" s="479" t="n"/>
      <c r="C316" s="479" t="n"/>
      <c r="D316" s="479" t="n"/>
      <c r="E316" s="479" t="n"/>
      <c r="F316" s="479" t="n"/>
      <c r="G316" s="479" t="n"/>
      <c r="H316" s="480" t="n"/>
      <c r="I316" s="554" t="n"/>
      <c r="J316" s="554" t="n"/>
      <c r="K316" s="555" t="n"/>
      <c r="L316" s="555" t="n"/>
      <c r="M316" s="479">
        <f>IF(K316="","",YEAR(K316))</f>
        <v/>
      </c>
      <c r="N316" s="479">
        <f>IF(K316="","",ROUNDUP(MONTH(K316)/3,0))</f>
        <v/>
      </c>
      <c r="O316" s="479">
        <f>IF(K316="","",IF(MONTH(K316)&lt;=6,1,2))</f>
        <v/>
      </c>
      <c r="P316" s="480">
        <f>IF(B316&lt;&gt;"Actif",0,H316*J316)</f>
        <v/>
      </c>
      <c r="Q316" s="480">
        <f>IF(B316&lt;&gt;"Actif",0,H316*I316)</f>
        <v/>
      </c>
      <c r="R316" s="480">
        <f>IF(B316&lt;&gt;"Actif",0,H316*I316*J316)</f>
        <v/>
      </c>
      <c r="S316" s="479" t="n"/>
    </row>
    <row r="317">
      <c r="A317" s="479">
        <f>IF(C317="","",ROW()-4)</f>
        <v/>
      </c>
      <c r="B317" s="479" t="n"/>
      <c r="C317" s="479" t="n"/>
      <c r="D317" s="479" t="n"/>
      <c r="E317" s="479" t="n"/>
      <c r="F317" s="479" t="n"/>
      <c r="G317" s="479" t="n"/>
      <c r="H317" s="480" t="n"/>
      <c r="I317" s="554" t="n"/>
      <c r="J317" s="554" t="n"/>
      <c r="K317" s="555" t="n"/>
      <c r="L317" s="555" t="n"/>
      <c r="M317" s="479">
        <f>IF(K317="","",YEAR(K317))</f>
        <v/>
      </c>
      <c r="N317" s="479">
        <f>IF(K317="","",ROUNDUP(MONTH(K317)/3,0))</f>
        <v/>
      </c>
      <c r="O317" s="479">
        <f>IF(K317="","",IF(MONTH(K317)&lt;=6,1,2))</f>
        <v/>
      </c>
      <c r="P317" s="480">
        <f>IF(B317&lt;&gt;"Actif",0,H317*J317)</f>
        <v/>
      </c>
      <c r="Q317" s="480">
        <f>IF(B317&lt;&gt;"Actif",0,H317*I317)</f>
        <v/>
      </c>
      <c r="R317" s="480">
        <f>IF(B317&lt;&gt;"Actif",0,H317*I317*J317)</f>
        <v/>
      </c>
      <c r="S317" s="479" t="n"/>
    </row>
    <row r="318">
      <c r="A318" s="479">
        <f>IF(C318="","",ROW()-4)</f>
        <v/>
      </c>
      <c r="B318" s="479" t="n"/>
      <c r="C318" s="479" t="n"/>
      <c r="D318" s="479" t="n"/>
      <c r="E318" s="479" t="n"/>
      <c r="F318" s="479" t="n"/>
      <c r="G318" s="479" t="n"/>
      <c r="H318" s="480" t="n"/>
      <c r="I318" s="554" t="n"/>
      <c r="J318" s="554" t="n"/>
      <c r="K318" s="555" t="n"/>
      <c r="L318" s="555" t="n"/>
      <c r="M318" s="479">
        <f>IF(K318="","",YEAR(K318))</f>
        <v/>
      </c>
      <c r="N318" s="479">
        <f>IF(K318="","",ROUNDUP(MONTH(K318)/3,0))</f>
        <v/>
      </c>
      <c r="O318" s="479">
        <f>IF(K318="","",IF(MONTH(K318)&lt;=6,1,2))</f>
        <v/>
      </c>
      <c r="P318" s="480">
        <f>IF(B318&lt;&gt;"Actif",0,H318*J318)</f>
        <v/>
      </c>
      <c r="Q318" s="480">
        <f>IF(B318&lt;&gt;"Actif",0,H318*I318)</f>
        <v/>
      </c>
      <c r="R318" s="480">
        <f>IF(B318&lt;&gt;"Actif",0,H318*I318*J318)</f>
        <v/>
      </c>
      <c r="S318" s="479" t="n"/>
    </row>
    <row r="319">
      <c r="A319" s="479">
        <f>IF(C319="","",ROW()-4)</f>
        <v/>
      </c>
      <c r="B319" s="479" t="n"/>
      <c r="C319" s="479" t="n"/>
      <c r="D319" s="479" t="n"/>
      <c r="E319" s="479" t="n"/>
      <c r="F319" s="479" t="n"/>
      <c r="G319" s="479" t="n"/>
      <c r="H319" s="480" t="n"/>
      <c r="I319" s="554" t="n"/>
      <c r="J319" s="554" t="n"/>
      <c r="K319" s="555" t="n"/>
      <c r="L319" s="555" t="n"/>
      <c r="M319" s="479">
        <f>IF(K319="","",YEAR(K319))</f>
        <v/>
      </c>
      <c r="N319" s="479">
        <f>IF(K319="","",ROUNDUP(MONTH(K319)/3,0))</f>
        <v/>
      </c>
      <c r="O319" s="479">
        <f>IF(K319="","",IF(MONTH(K319)&lt;=6,1,2))</f>
        <v/>
      </c>
      <c r="P319" s="480">
        <f>IF(B319&lt;&gt;"Actif",0,H319*J319)</f>
        <v/>
      </c>
      <c r="Q319" s="480">
        <f>IF(B319&lt;&gt;"Actif",0,H319*I319)</f>
        <v/>
      </c>
      <c r="R319" s="480">
        <f>IF(B319&lt;&gt;"Actif",0,H319*I319*J319)</f>
        <v/>
      </c>
      <c r="S319" s="479" t="n"/>
    </row>
    <row r="320">
      <c r="A320" s="479">
        <f>IF(C320="","",ROW()-4)</f>
        <v/>
      </c>
      <c r="B320" s="479" t="n"/>
      <c r="C320" s="479" t="n"/>
      <c r="D320" s="479" t="n"/>
      <c r="E320" s="479" t="n"/>
      <c r="F320" s="479" t="n"/>
      <c r="G320" s="479" t="n"/>
      <c r="H320" s="480" t="n"/>
      <c r="I320" s="554" t="n"/>
      <c r="J320" s="554" t="n"/>
      <c r="K320" s="555" t="n"/>
      <c r="L320" s="555" t="n"/>
      <c r="M320" s="479">
        <f>IF(K320="","",YEAR(K320))</f>
        <v/>
      </c>
      <c r="N320" s="479">
        <f>IF(K320="","",ROUNDUP(MONTH(K320)/3,0))</f>
        <v/>
      </c>
      <c r="O320" s="479">
        <f>IF(K320="","",IF(MONTH(K320)&lt;=6,1,2))</f>
        <v/>
      </c>
      <c r="P320" s="480">
        <f>IF(B320&lt;&gt;"Actif",0,H320*J320)</f>
        <v/>
      </c>
      <c r="Q320" s="480">
        <f>IF(B320&lt;&gt;"Actif",0,H320*I320)</f>
        <v/>
      </c>
      <c r="R320" s="480">
        <f>IF(B320&lt;&gt;"Actif",0,H320*I320*J320)</f>
        <v/>
      </c>
      <c r="S320" s="479" t="n"/>
    </row>
    <row r="321">
      <c r="A321" s="479">
        <f>IF(C321="","",ROW()-4)</f>
        <v/>
      </c>
      <c r="B321" s="479" t="n"/>
      <c r="C321" s="479" t="n"/>
      <c r="D321" s="479" t="n"/>
      <c r="E321" s="479" t="n"/>
      <c r="F321" s="479" t="n"/>
      <c r="G321" s="479" t="n"/>
      <c r="H321" s="480" t="n"/>
      <c r="I321" s="554" t="n"/>
      <c r="J321" s="554" t="n"/>
      <c r="K321" s="555" t="n"/>
      <c r="L321" s="555" t="n"/>
      <c r="M321" s="479">
        <f>IF(K321="","",YEAR(K321))</f>
        <v/>
      </c>
      <c r="N321" s="479">
        <f>IF(K321="","",ROUNDUP(MONTH(K321)/3,0))</f>
        <v/>
      </c>
      <c r="O321" s="479">
        <f>IF(K321="","",IF(MONTH(K321)&lt;=6,1,2))</f>
        <v/>
      </c>
      <c r="P321" s="480">
        <f>IF(B321&lt;&gt;"Actif",0,H321*J321)</f>
        <v/>
      </c>
      <c r="Q321" s="480">
        <f>IF(B321&lt;&gt;"Actif",0,H321*I321)</f>
        <v/>
      </c>
      <c r="R321" s="480">
        <f>IF(B321&lt;&gt;"Actif",0,H321*I321*J321)</f>
        <v/>
      </c>
      <c r="S321" s="479" t="n"/>
    </row>
    <row r="322">
      <c r="A322" s="479">
        <f>IF(C322="","",ROW()-4)</f>
        <v/>
      </c>
      <c r="B322" s="479" t="n"/>
      <c r="C322" s="479" t="n"/>
      <c r="D322" s="479" t="n"/>
      <c r="E322" s="479" t="n"/>
      <c r="F322" s="479" t="n"/>
      <c r="G322" s="479" t="n"/>
      <c r="H322" s="480" t="n"/>
      <c r="I322" s="554" t="n"/>
      <c r="J322" s="554" t="n"/>
      <c r="K322" s="555" t="n"/>
      <c r="L322" s="555" t="n"/>
      <c r="M322" s="479">
        <f>IF(K322="","",YEAR(K322))</f>
        <v/>
      </c>
      <c r="N322" s="479">
        <f>IF(K322="","",ROUNDUP(MONTH(K322)/3,0))</f>
        <v/>
      </c>
      <c r="O322" s="479">
        <f>IF(K322="","",IF(MONTH(K322)&lt;=6,1,2))</f>
        <v/>
      </c>
      <c r="P322" s="480">
        <f>IF(B322&lt;&gt;"Actif",0,H322*J322)</f>
        <v/>
      </c>
      <c r="Q322" s="480">
        <f>IF(B322&lt;&gt;"Actif",0,H322*I322)</f>
        <v/>
      </c>
      <c r="R322" s="480">
        <f>IF(B322&lt;&gt;"Actif",0,H322*I322*J322)</f>
        <v/>
      </c>
      <c r="S322" s="479" t="n"/>
    </row>
    <row r="323">
      <c r="A323" s="479">
        <f>IF(C323="","",ROW()-4)</f>
        <v/>
      </c>
      <c r="B323" s="479" t="n"/>
      <c r="C323" s="479" t="n"/>
      <c r="D323" s="479" t="n"/>
      <c r="E323" s="479" t="n"/>
      <c r="F323" s="479" t="n"/>
      <c r="G323" s="479" t="n"/>
      <c r="H323" s="480" t="n"/>
      <c r="I323" s="554" t="n"/>
      <c r="J323" s="554" t="n"/>
      <c r="K323" s="555" t="n"/>
      <c r="L323" s="555" t="n"/>
      <c r="M323" s="479">
        <f>IF(K323="","",YEAR(K323))</f>
        <v/>
      </c>
      <c r="N323" s="479">
        <f>IF(K323="","",ROUNDUP(MONTH(K323)/3,0))</f>
        <v/>
      </c>
      <c r="O323" s="479">
        <f>IF(K323="","",IF(MONTH(K323)&lt;=6,1,2))</f>
        <v/>
      </c>
      <c r="P323" s="480">
        <f>IF(B323&lt;&gt;"Actif",0,H323*J323)</f>
        <v/>
      </c>
      <c r="Q323" s="480">
        <f>IF(B323&lt;&gt;"Actif",0,H323*I323)</f>
        <v/>
      </c>
      <c r="R323" s="480">
        <f>IF(B323&lt;&gt;"Actif",0,H323*I323*J323)</f>
        <v/>
      </c>
      <c r="S323" s="479" t="n"/>
    </row>
    <row r="324">
      <c r="A324" s="479">
        <f>IF(C324="","",ROW()-4)</f>
        <v/>
      </c>
      <c r="B324" s="479" t="n"/>
      <c r="C324" s="479" t="n"/>
      <c r="D324" s="479" t="n"/>
      <c r="E324" s="479" t="n"/>
      <c r="F324" s="479" t="n"/>
      <c r="G324" s="479" t="n"/>
      <c r="H324" s="480" t="n"/>
      <c r="I324" s="554" t="n"/>
      <c r="J324" s="554" t="n"/>
      <c r="K324" s="555" t="n"/>
      <c r="L324" s="555" t="n"/>
      <c r="M324" s="479">
        <f>IF(K324="","",YEAR(K324))</f>
        <v/>
      </c>
      <c r="N324" s="479">
        <f>IF(K324="","",ROUNDUP(MONTH(K324)/3,0))</f>
        <v/>
      </c>
      <c r="O324" s="479">
        <f>IF(K324="","",IF(MONTH(K324)&lt;=6,1,2))</f>
        <v/>
      </c>
      <c r="P324" s="480">
        <f>IF(B324&lt;&gt;"Actif",0,H324*J324)</f>
        <v/>
      </c>
      <c r="Q324" s="480">
        <f>IF(B324&lt;&gt;"Actif",0,H324*I324)</f>
        <v/>
      </c>
      <c r="R324" s="480">
        <f>IF(B324&lt;&gt;"Actif",0,H324*I324*J324)</f>
        <v/>
      </c>
      <c r="S324" s="479" t="n"/>
    </row>
    <row r="325">
      <c r="A325" s="479">
        <f>IF(C325="","",ROW()-4)</f>
        <v/>
      </c>
      <c r="B325" s="479" t="n"/>
      <c r="C325" s="479" t="n"/>
      <c r="D325" s="479" t="n"/>
      <c r="E325" s="479" t="n"/>
      <c r="F325" s="479" t="n"/>
      <c r="G325" s="479" t="n"/>
      <c r="H325" s="480" t="n"/>
      <c r="I325" s="554" t="n"/>
      <c r="J325" s="554" t="n"/>
      <c r="K325" s="555" t="n"/>
      <c r="L325" s="555" t="n"/>
      <c r="M325" s="479">
        <f>IF(K325="","",YEAR(K325))</f>
        <v/>
      </c>
      <c r="N325" s="479">
        <f>IF(K325="","",ROUNDUP(MONTH(K325)/3,0))</f>
        <v/>
      </c>
      <c r="O325" s="479">
        <f>IF(K325="","",IF(MONTH(K325)&lt;=6,1,2))</f>
        <v/>
      </c>
      <c r="P325" s="480">
        <f>IF(B325&lt;&gt;"Actif",0,H325*J325)</f>
        <v/>
      </c>
      <c r="Q325" s="480">
        <f>IF(B325&lt;&gt;"Actif",0,H325*I325)</f>
        <v/>
      </c>
      <c r="R325" s="480">
        <f>IF(B325&lt;&gt;"Actif",0,H325*I325*J325)</f>
        <v/>
      </c>
      <c r="S325" s="479" t="n"/>
    </row>
    <row r="326">
      <c r="A326" s="479">
        <f>IF(C326="","",ROW()-4)</f>
        <v/>
      </c>
      <c r="B326" s="479" t="n"/>
      <c r="C326" s="479" t="n"/>
      <c r="D326" s="479" t="n"/>
      <c r="E326" s="479" t="n"/>
      <c r="F326" s="479" t="n"/>
      <c r="G326" s="479" t="n"/>
      <c r="H326" s="480" t="n"/>
      <c r="I326" s="554" t="n"/>
      <c r="J326" s="554" t="n"/>
      <c r="K326" s="555" t="n"/>
      <c r="L326" s="555" t="n"/>
      <c r="M326" s="479">
        <f>IF(K326="","",YEAR(K326))</f>
        <v/>
      </c>
      <c r="N326" s="479">
        <f>IF(K326="","",ROUNDUP(MONTH(K326)/3,0))</f>
        <v/>
      </c>
      <c r="O326" s="479">
        <f>IF(K326="","",IF(MONTH(K326)&lt;=6,1,2))</f>
        <v/>
      </c>
      <c r="P326" s="480">
        <f>IF(B326&lt;&gt;"Actif",0,H326*J326)</f>
        <v/>
      </c>
      <c r="Q326" s="480">
        <f>IF(B326&lt;&gt;"Actif",0,H326*I326)</f>
        <v/>
      </c>
      <c r="R326" s="480">
        <f>IF(B326&lt;&gt;"Actif",0,H326*I326*J326)</f>
        <v/>
      </c>
      <c r="S326" s="479" t="n"/>
    </row>
    <row r="327">
      <c r="A327" s="479">
        <f>IF(C327="","",ROW()-4)</f>
        <v/>
      </c>
      <c r="B327" s="479" t="n"/>
      <c r="C327" s="479" t="n"/>
      <c r="D327" s="479" t="n"/>
      <c r="E327" s="479" t="n"/>
      <c r="F327" s="479" t="n"/>
      <c r="G327" s="479" t="n"/>
      <c r="H327" s="480" t="n"/>
      <c r="I327" s="554" t="n"/>
      <c r="J327" s="554" t="n"/>
      <c r="K327" s="555" t="n"/>
      <c r="L327" s="555" t="n"/>
      <c r="M327" s="479">
        <f>IF(K327="","",YEAR(K327))</f>
        <v/>
      </c>
      <c r="N327" s="479">
        <f>IF(K327="","",ROUNDUP(MONTH(K327)/3,0))</f>
        <v/>
      </c>
      <c r="O327" s="479">
        <f>IF(K327="","",IF(MONTH(K327)&lt;=6,1,2))</f>
        <v/>
      </c>
      <c r="P327" s="480">
        <f>IF(B327&lt;&gt;"Actif",0,H327*J327)</f>
        <v/>
      </c>
      <c r="Q327" s="480">
        <f>IF(B327&lt;&gt;"Actif",0,H327*I327)</f>
        <v/>
      </c>
      <c r="R327" s="480">
        <f>IF(B327&lt;&gt;"Actif",0,H327*I327*J327)</f>
        <v/>
      </c>
      <c r="S327" s="479" t="n"/>
    </row>
    <row r="328">
      <c r="A328" s="479">
        <f>IF(C328="","",ROW()-4)</f>
        <v/>
      </c>
      <c r="B328" s="479" t="n"/>
      <c r="C328" s="479" t="n"/>
      <c r="D328" s="479" t="n"/>
      <c r="E328" s="479" t="n"/>
      <c r="F328" s="479" t="n"/>
      <c r="G328" s="479" t="n"/>
      <c r="H328" s="480" t="n"/>
      <c r="I328" s="554" t="n"/>
      <c r="J328" s="554" t="n"/>
      <c r="K328" s="555" t="n"/>
      <c r="L328" s="555" t="n"/>
      <c r="M328" s="479">
        <f>IF(K328="","",YEAR(K328))</f>
        <v/>
      </c>
      <c r="N328" s="479">
        <f>IF(K328="","",ROUNDUP(MONTH(K328)/3,0))</f>
        <v/>
      </c>
      <c r="O328" s="479">
        <f>IF(K328="","",IF(MONTH(K328)&lt;=6,1,2))</f>
        <v/>
      </c>
      <c r="P328" s="480">
        <f>IF(B328&lt;&gt;"Actif",0,H328*J328)</f>
        <v/>
      </c>
      <c r="Q328" s="480">
        <f>IF(B328&lt;&gt;"Actif",0,H328*I328)</f>
        <v/>
      </c>
      <c r="R328" s="480">
        <f>IF(B328&lt;&gt;"Actif",0,H328*I328*J328)</f>
        <v/>
      </c>
      <c r="S328" s="479" t="n"/>
    </row>
    <row r="329">
      <c r="A329" s="479">
        <f>IF(C329="","",ROW()-4)</f>
        <v/>
      </c>
      <c r="B329" s="479" t="n"/>
      <c r="C329" s="479" t="n"/>
      <c r="D329" s="479" t="n"/>
      <c r="E329" s="479" t="n"/>
      <c r="F329" s="479" t="n"/>
      <c r="G329" s="479" t="n"/>
      <c r="H329" s="480" t="n"/>
      <c r="I329" s="554" t="n"/>
      <c r="J329" s="554" t="n"/>
      <c r="K329" s="555" t="n"/>
      <c r="L329" s="555" t="n"/>
      <c r="M329" s="479">
        <f>IF(K329="","",YEAR(K329))</f>
        <v/>
      </c>
      <c r="N329" s="479">
        <f>IF(K329="","",ROUNDUP(MONTH(K329)/3,0))</f>
        <v/>
      </c>
      <c r="O329" s="479">
        <f>IF(K329="","",IF(MONTH(K329)&lt;=6,1,2))</f>
        <v/>
      </c>
      <c r="P329" s="480">
        <f>IF(B329&lt;&gt;"Actif",0,H329*J329)</f>
        <v/>
      </c>
      <c r="Q329" s="480">
        <f>IF(B329&lt;&gt;"Actif",0,H329*I329)</f>
        <v/>
      </c>
      <c r="R329" s="480">
        <f>IF(B329&lt;&gt;"Actif",0,H329*I329*J329)</f>
        <v/>
      </c>
      <c r="S329" s="479" t="n"/>
    </row>
    <row r="330">
      <c r="A330" s="479">
        <f>IF(C330="","",ROW()-4)</f>
        <v/>
      </c>
      <c r="B330" s="479" t="n"/>
      <c r="C330" s="479" t="n"/>
      <c r="D330" s="479" t="n"/>
      <c r="E330" s="479" t="n"/>
      <c r="F330" s="479" t="n"/>
      <c r="G330" s="479" t="n"/>
      <c r="H330" s="480" t="n"/>
      <c r="I330" s="554" t="n"/>
      <c r="J330" s="554" t="n"/>
      <c r="K330" s="555" t="n"/>
      <c r="L330" s="555" t="n"/>
      <c r="M330" s="479">
        <f>IF(K330="","",YEAR(K330))</f>
        <v/>
      </c>
      <c r="N330" s="479">
        <f>IF(K330="","",ROUNDUP(MONTH(K330)/3,0))</f>
        <v/>
      </c>
      <c r="O330" s="479">
        <f>IF(K330="","",IF(MONTH(K330)&lt;=6,1,2))</f>
        <v/>
      </c>
      <c r="P330" s="480">
        <f>IF(B330&lt;&gt;"Actif",0,H330*J330)</f>
        <v/>
      </c>
      <c r="Q330" s="480">
        <f>IF(B330&lt;&gt;"Actif",0,H330*I330)</f>
        <v/>
      </c>
      <c r="R330" s="480">
        <f>IF(B330&lt;&gt;"Actif",0,H330*I330*J330)</f>
        <v/>
      </c>
      <c r="S330" s="479" t="n"/>
    </row>
    <row r="331">
      <c r="A331" s="479">
        <f>IF(C331="","",ROW()-4)</f>
        <v/>
      </c>
      <c r="B331" s="479" t="n"/>
      <c r="C331" s="479" t="n"/>
      <c r="D331" s="479" t="n"/>
      <c r="E331" s="479" t="n"/>
      <c r="F331" s="479" t="n"/>
      <c r="G331" s="479" t="n"/>
      <c r="H331" s="480" t="n"/>
      <c r="I331" s="554" t="n"/>
      <c r="J331" s="554" t="n"/>
      <c r="K331" s="555" t="n"/>
      <c r="L331" s="555" t="n"/>
      <c r="M331" s="479">
        <f>IF(K331="","",YEAR(K331))</f>
        <v/>
      </c>
      <c r="N331" s="479">
        <f>IF(K331="","",ROUNDUP(MONTH(K331)/3,0))</f>
        <v/>
      </c>
      <c r="O331" s="479">
        <f>IF(K331="","",IF(MONTH(K331)&lt;=6,1,2))</f>
        <v/>
      </c>
      <c r="P331" s="480">
        <f>IF(B331&lt;&gt;"Actif",0,H331*J331)</f>
        <v/>
      </c>
      <c r="Q331" s="480">
        <f>IF(B331&lt;&gt;"Actif",0,H331*I331)</f>
        <v/>
      </c>
      <c r="R331" s="480">
        <f>IF(B331&lt;&gt;"Actif",0,H331*I331*J331)</f>
        <v/>
      </c>
      <c r="S331" s="479" t="n"/>
    </row>
    <row r="332">
      <c r="A332" s="479">
        <f>IF(C332="","",ROW()-4)</f>
        <v/>
      </c>
      <c r="B332" s="479" t="n"/>
      <c r="C332" s="479" t="n"/>
      <c r="D332" s="479" t="n"/>
      <c r="E332" s="479" t="n"/>
      <c r="F332" s="479" t="n"/>
      <c r="G332" s="479" t="n"/>
      <c r="H332" s="480" t="n"/>
      <c r="I332" s="554" t="n"/>
      <c r="J332" s="554" t="n"/>
      <c r="K332" s="555" t="n"/>
      <c r="L332" s="555" t="n"/>
      <c r="M332" s="479">
        <f>IF(K332="","",YEAR(K332))</f>
        <v/>
      </c>
      <c r="N332" s="479">
        <f>IF(K332="","",ROUNDUP(MONTH(K332)/3,0))</f>
        <v/>
      </c>
      <c r="O332" s="479">
        <f>IF(K332="","",IF(MONTH(K332)&lt;=6,1,2))</f>
        <v/>
      </c>
      <c r="P332" s="480">
        <f>IF(B332&lt;&gt;"Actif",0,H332*J332)</f>
        <v/>
      </c>
      <c r="Q332" s="480">
        <f>IF(B332&lt;&gt;"Actif",0,H332*I332)</f>
        <v/>
      </c>
      <c r="R332" s="480">
        <f>IF(B332&lt;&gt;"Actif",0,H332*I332*J332)</f>
        <v/>
      </c>
      <c r="S332" s="479" t="n"/>
    </row>
    <row r="333">
      <c r="A333" s="479">
        <f>IF(C333="","",ROW()-4)</f>
        <v/>
      </c>
      <c r="B333" s="479" t="n"/>
      <c r="C333" s="479" t="n"/>
      <c r="D333" s="479" t="n"/>
      <c r="E333" s="479" t="n"/>
      <c r="F333" s="479" t="n"/>
      <c r="G333" s="479" t="n"/>
      <c r="H333" s="480" t="n"/>
      <c r="I333" s="554" t="n"/>
      <c r="J333" s="554" t="n"/>
      <c r="K333" s="555" t="n"/>
      <c r="L333" s="555" t="n"/>
      <c r="M333" s="479">
        <f>IF(K333="","",YEAR(K333))</f>
        <v/>
      </c>
      <c r="N333" s="479">
        <f>IF(K333="","",ROUNDUP(MONTH(K333)/3,0))</f>
        <v/>
      </c>
      <c r="O333" s="479">
        <f>IF(K333="","",IF(MONTH(K333)&lt;=6,1,2))</f>
        <v/>
      </c>
      <c r="P333" s="480">
        <f>IF(B333&lt;&gt;"Actif",0,H333*J333)</f>
        <v/>
      </c>
      <c r="Q333" s="480">
        <f>IF(B333&lt;&gt;"Actif",0,H333*I333)</f>
        <v/>
      </c>
      <c r="R333" s="480">
        <f>IF(B333&lt;&gt;"Actif",0,H333*I333*J333)</f>
        <v/>
      </c>
      <c r="S333" s="479" t="n"/>
    </row>
    <row r="334">
      <c r="A334" s="479">
        <f>IF(C334="","",ROW()-4)</f>
        <v/>
      </c>
      <c r="B334" s="479" t="n"/>
      <c r="C334" s="479" t="n"/>
      <c r="D334" s="479" t="n"/>
      <c r="E334" s="479" t="n"/>
      <c r="F334" s="479" t="n"/>
      <c r="G334" s="479" t="n"/>
      <c r="H334" s="480" t="n"/>
      <c r="I334" s="554" t="n"/>
      <c r="J334" s="554" t="n"/>
      <c r="K334" s="555" t="n"/>
      <c r="L334" s="555" t="n"/>
      <c r="M334" s="479">
        <f>IF(K334="","",YEAR(K334))</f>
        <v/>
      </c>
      <c r="N334" s="479">
        <f>IF(K334="","",ROUNDUP(MONTH(K334)/3,0))</f>
        <v/>
      </c>
      <c r="O334" s="479">
        <f>IF(K334="","",IF(MONTH(K334)&lt;=6,1,2))</f>
        <v/>
      </c>
      <c r="P334" s="480">
        <f>IF(B334&lt;&gt;"Actif",0,H334*J334)</f>
        <v/>
      </c>
      <c r="Q334" s="480">
        <f>IF(B334&lt;&gt;"Actif",0,H334*I334)</f>
        <v/>
      </c>
      <c r="R334" s="480">
        <f>IF(B334&lt;&gt;"Actif",0,H334*I334*J334)</f>
        <v/>
      </c>
      <c r="S334" s="479" t="n"/>
    </row>
    <row r="335">
      <c r="A335" s="479">
        <f>IF(C335="","",ROW()-4)</f>
        <v/>
      </c>
      <c r="B335" s="479" t="n"/>
      <c r="C335" s="479" t="n"/>
      <c r="D335" s="479" t="n"/>
      <c r="E335" s="479" t="n"/>
      <c r="F335" s="479" t="n"/>
      <c r="G335" s="479" t="n"/>
      <c r="H335" s="480" t="n"/>
      <c r="I335" s="554" t="n"/>
      <c r="J335" s="554" t="n"/>
      <c r="K335" s="555" t="n"/>
      <c r="L335" s="555" t="n"/>
      <c r="M335" s="479">
        <f>IF(K335="","",YEAR(K335))</f>
        <v/>
      </c>
      <c r="N335" s="479">
        <f>IF(K335="","",ROUNDUP(MONTH(K335)/3,0))</f>
        <v/>
      </c>
      <c r="O335" s="479">
        <f>IF(K335="","",IF(MONTH(K335)&lt;=6,1,2))</f>
        <v/>
      </c>
      <c r="P335" s="480">
        <f>IF(B335&lt;&gt;"Actif",0,H335*J335)</f>
        <v/>
      </c>
      <c r="Q335" s="480">
        <f>IF(B335&lt;&gt;"Actif",0,H335*I335)</f>
        <v/>
      </c>
      <c r="R335" s="480">
        <f>IF(B335&lt;&gt;"Actif",0,H335*I335*J335)</f>
        <v/>
      </c>
      <c r="S335" s="479" t="n"/>
    </row>
    <row r="336">
      <c r="A336" s="479">
        <f>IF(C336="","",ROW()-4)</f>
        <v/>
      </c>
      <c r="B336" s="479" t="n"/>
      <c r="C336" s="479" t="n"/>
      <c r="D336" s="479" t="n"/>
      <c r="E336" s="479" t="n"/>
      <c r="F336" s="479" t="n"/>
      <c r="G336" s="479" t="n"/>
      <c r="H336" s="480" t="n"/>
      <c r="I336" s="554" t="n"/>
      <c r="J336" s="554" t="n"/>
      <c r="K336" s="555" t="n"/>
      <c r="L336" s="555" t="n"/>
      <c r="M336" s="479">
        <f>IF(K336="","",YEAR(K336))</f>
        <v/>
      </c>
      <c r="N336" s="479">
        <f>IF(K336="","",ROUNDUP(MONTH(K336)/3,0))</f>
        <v/>
      </c>
      <c r="O336" s="479">
        <f>IF(K336="","",IF(MONTH(K336)&lt;=6,1,2))</f>
        <v/>
      </c>
      <c r="P336" s="480">
        <f>IF(B336&lt;&gt;"Actif",0,H336*J336)</f>
        <v/>
      </c>
      <c r="Q336" s="480">
        <f>IF(B336&lt;&gt;"Actif",0,H336*I336)</f>
        <v/>
      </c>
      <c r="R336" s="480">
        <f>IF(B336&lt;&gt;"Actif",0,H336*I336*J336)</f>
        <v/>
      </c>
      <c r="S336" s="479" t="n"/>
    </row>
    <row r="337">
      <c r="A337" s="479">
        <f>IF(C337="","",ROW()-4)</f>
        <v/>
      </c>
      <c r="B337" s="479" t="n"/>
      <c r="C337" s="479" t="n"/>
      <c r="D337" s="479" t="n"/>
      <c r="E337" s="479" t="n"/>
      <c r="F337" s="479" t="n"/>
      <c r="G337" s="479" t="n"/>
      <c r="H337" s="480" t="n"/>
      <c r="I337" s="554" t="n"/>
      <c r="J337" s="554" t="n"/>
      <c r="K337" s="555" t="n"/>
      <c r="L337" s="555" t="n"/>
      <c r="M337" s="479">
        <f>IF(K337="","",YEAR(K337))</f>
        <v/>
      </c>
      <c r="N337" s="479">
        <f>IF(K337="","",ROUNDUP(MONTH(K337)/3,0))</f>
        <v/>
      </c>
      <c r="O337" s="479">
        <f>IF(K337="","",IF(MONTH(K337)&lt;=6,1,2))</f>
        <v/>
      </c>
      <c r="P337" s="480">
        <f>IF(B337&lt;&gt;"Actif",0,H337*J337)</f>
        <v/>
      </c>
      <c r="Q337" s="480">
        <f>IF(B337&lt;&gt;"Actif",0,H337*I337)</f>
        <v/>
      </c>
      <c r="R337" s="480">
        <f>IF(B337&lt;&gt;"Actif",0,H337*I337*J337)</f>
        <v/>
      </c>
      <c r="S337" s="479" t="n"/>
    </row>
    <row r="338">
      <c r="A338" s="479">
        <f>IF(C338="","",ROW()-4)</f>
        <v/>
      </c>
      <c r="B338" s="479" t="n"/>
      <c r="C338" s="479" t="n"/>
      <c r="D338" s="479" t="n"/>
      <c r="E338" s="479" t="n"/>
      <c r="F338" s="479" t="n"/>
      <c r="G338" s="479" t="n"/>
      <c r="H338" s="480" t="n"/>
      <c r="I338" s="554" t="n"/>
      <c r="J338" s="554" t="n"/>
      <c r="K338" s="555" t="n"/>
      <c r="L338" s="555" t="n"/>
      <c r="M338" s="479">
        <f>IF(K338="","",YEAR(K338))</f>
        <v/>
      </c>
      <c r="N338" s="479">
        <f>IF(K338="","",ROUNDUP(MONTH(K338)/3,0))</f>
        <v/>
      </c>
      <c r="O338" s="479">
        <f>IF(K338="","",IF(MONTH(K338)&lt;=6,1,2))</f>
        <v/>
      </c>
      <c r="P338" s="480">
        <f>IF(B338&lt;&gt;"Actif",0,H338*J338)</f>
        <v/>
      </c>
      <c r="Q338" s="480">
        <f>IF(B338&lt;&gt;"Actif",0,H338*I338)</f>
        <v/>
      </c>
      <c r="R338" s="480">
        <f>IF(B338&lt;&gt;"Actif",0,H338*I338*J338)</f>
        <v/>
      </c>
      <c r="S338" s="479" t="n"/>
    </row>
    <row r="339">
      <c r="A339" s="479">
        <f>IF(C339="","",ROW()-4)</f>
        <v/>
      </c>
      <c r="B339" s="479" t="n"/>
      <c r="C339" s="479" t="n"/>
      <c r="D339" s="479" t="n"/>
      <c r="E339" s="479" t="n"/>
      <c r="F339" s="479" t="n"/>
      <c r="G339" s="479" t="n"/>
      <c r="H339" s="480" t="n"/>
      <c r="I339" s="554" t="n"/>
      <c r="J339" s="554" t="n"/>
      <c r="K339" s="555" t="n"/>
      <c r="L339" s="555" t="n"/>
      <c r="M339" s="479">
        <f>IF(K339="","",YEAR(K339))</f>
        <v/>
      </c>
      <c r="N339" s="479">
        <f>IF(K339="","",ROUNDUP(MONTH(K339)/3,0))</f>
        <v/>
      </c>
      <c r="O339" s="479">
        <f>IF(K339="","",IF(MONTH(K339)&lt;=6,1,2))</f>
        <v/>
      </c>
      <c r="P339" s="480">
        <f>IF(B339&lt;&gt;"Actif",0,H339*J339)</f>
        <v/>
      </c>
      <c r="Q339" s="480">
        <f>IF(B339&lt;&gt;"Actif",0,H339*I339)</f>
        <v/>
      </c>
      <c r="R339" s="480">
        <f>IF(B339&lt;&gt;"Actif",0,H339*I339*J339)</f>
        <v/>
      </c>
      <c r="S339" s="479" t="n"/>
    </row>
    <row r="340">
      <c r="A340" s="479">
        <f>IF(C340="","",ROW()-4)</f>
        <v/>
      </c>
      <c r="B340" s="479" t="n"/>
      <c r="C340" s="479" t="n"/>
      <c r="D340" s="479" t="n"/>
      <c r="E340" s="479" t="n"/>
      <c r="F340" s="479" t="n"/>
      <c r="G340" s="479" t="n"/>
      <c r="H340" s="480" t="n"/>
      <c r="I340" s="554" t="n"/>
      <c r="J340" s="554" t="n"/>
      <c r="K340" s="555" t="n"/>
      <c r="L340" s="555" t="n"/>
      <c r="M340" s="479">
        <f>IF(K340="","",YEAR(K340))</f>
        <v/>
      </c>
      <c r="N340" s="479">
        <f>IF(K340="","",ROUNDUP(MONTH(K340)/3,0))</f>
        <v/>
      </c>
      <c r="O340" s="479">
        <f>IF(K340="","",IF(MONTH(K340)&lt;=6,1,2))</f>
        <v/>
      </c>
      <c r="P340" s="480">
        <f>IF(B340&lt;&gt;"Actif",0,H340*J340)</f>
        <v/>
      </c>
      <c r="Q340" s="480">
        <f>IF(B340&lt;&gt;"Actif",0,H340*I340)</f>
        <v/>
      </c>
      <c r="R340" s="480">
        <f>IF(B340&lt;&gt;"Actif",0,H340*I340*J340)</f>
        <v/>
      </c>
      <c r="S340" s="479" t="n"/>
    </row>
    <row r="341">
      <c r="A341" s="479">
        <f>IF(C341="","",ROW()-4)</f>
        <v/>
      </c>
      <c r="B341" s="479" t="n"/>
      <c r="C341" s="479" t="n"/>
      <c r="D341" s="479" t="n"/>
      <c r="E341" s="479" t="n"/>
      <c r="F341" s="479" t="n"/>
      <c r="G341" s="479" t="n"/>
      <c r="H341" s="480" t="n"/>
      <c r="I341" s="554" t="n"/>
      <c r="J341" s="554" t="n"/>
      <c r="K341" s="555" t="n"/>
      <c r="L341" s="555" t="n"/>
      <c r="M341" s="479">
        <f>IF(K341="","",YEAR(K341))</f>
        <v/>
      </c>
      <c r="N341" s="479">
        <f>IF(K341="","",ROUNDUP(MONTH(K341)/3,0))</f>
        <v/>
      </c>
      <c r="O341" s="479">
        <f>IF(K341="","",IF(MONTH(K341)&lt;=6,1,2))</f>
        <v/>
      </c>
      <c r="P341" s="480">
        <f>IF(B341&lt;&gt;"Actif",0,H341*J341)</f>
        <v/>
      </c>
      <c r="Q341" s="480">
        <f>IF(B341&lt;&gt;"Actif",0,H341*I341)</f>
        <v/>
      </c>
      <c r="R341" s="480">
        <f>IF(B341&lt;&gt;"Actif",0,H341*I341*J341)</f>
        <v/>
      </c>
      <c r="S341" s="479" t="n"/>
    </row>
    <row r="342">
      <c r="A342" s="479">
        <f>IF(C342="","",ROW()-4)</f>
        <v/>
      </c>
      <c r="B342" s="479" t="n"/>
      <c r="C342" s="479" t="n"/>
      <c r="D342" s="479" t="n"/>
      <c r="E342" s="479" t="n"/>
      <c r="F342" s="479" t="n"/>
      <c r="G342" s="479" t="n"/>
      <c r="H342" s="480" t="n"/>
      <c r="I342" s="554" t="n"/>
      <c r="J342" s="554" t="n"/>
      <c r="K342" s="555" t="n"/>
      <c r="L342" s="555" t="n"/>
      <c r="M342" s="479">
        <f>IF(K342="","",YEAR(K342))</f>
        <v/>
      </c>
      <c r="N342" s="479">
        <f>IF(K342="","",ROUNDUP(MONTH(K342)/3,0))</f>
        <v/>
      </c>
      <c r="O342" s="479">
        <f>IF(K342="","",IF(MONTH(K342)&lt;=6,1,2))</f>
        <v/>
      </c>
      <c r="P342" s="480">
        <f>IF(B342&lt;&gt;"Actif",0,H342*J342)</f>
        <v/>
      </c>
      <c r="Q342" s="480">
        <f>IF(B342&lt;&gt;"Actif",0,H342*I342)</f>
        <v/>
      </c>
      <c r="R342" s="480">
        <f>IF(B342&lt;&gt;"Actif",0,H342*I342*J342)</f>
        <v/>
      </c>
      <c r="S342" s="479" t="n"/>
    </row>
    <row r="343">
      <c r="A343" s="479">
        <f>IF(C343="","",ROW()-4)</f>
        <v/>
      </c>
      <c r="B343" s="479" t="n"/>
      <c r="C343" s="479" t="n"/>
      <c r="D343" s="479" t="n"/>
      <c r="E343" s="479" t="n"/>
      <c r="F343" s="479" t="n"/>
      <c r="G343" s="479" t="n"/>
      <c r="H343" s="480" t="n"/>
      <c r="I343" s="554" t="n"/>
      <c r="J343" s="554" t="n"/>
      <c r="K343" s="555" t="n"/>
      <c r="L343" s="555" t="n"/>
      <c r="M343" s="479">
        <f>IF(K343="","",YEAR(K343))</f>
        <v/>
      </c>
      <c r="N343" s="479">
        <f>IF(K343="","",ROUNDUP(MONTH(K343)/3,0))</f>
        <v/>
      </c>
      <c r="O343" s="479">
        <f>IF(K343="","",IF(MONTH(K343)&lt;=6,1,2))</f>
        <v/>
      </c>
      <c r="P343" s="480">
        <f>IF(B343&lt;&gt;"Actif",0,H343*J343)</f>
        <v/>
      </c>
      <c r="Q343" s="480">
        <f>IF(B343&lt;&gt;"Actif",0,H343*I343)</f>
        <v/>
      </c>
      <c r="R343" s="480">
        <f>IF(B343&lt;&gt;"Actif",0,H343*I343*J343)</f>
        <v/>
      </c>
      <c r="S343" s="479" t="n"/>
    </row>
    <row r="344">
      <c r="A344" s="479">
        <f>IF(C344="","",ROW()-4)</f>
        <v/>
      </c>
      <c r="B344" s="479" t="n"/>
      <c r="C344" s="479" t="n"/>
      <c r="D344" s="479" t="n"/>
      <c r="E344" s="479" t="n"/>
      <c r="F344" s="479" t="n"/>
      <c r="G344" s="479" t="n"/>
      <c r="H344" s="480" t="n"/>
      <c r="I344" s="554" t="n"/>
      <c r="J344" s="554" t="n"/>
      <c r="K344" s="555" t="n"/>
      <c r="L344" s="555" t="n"/>
      <c r="M344" s="479">
        <f>IF(K344="","",YEAR(K344))</f>
        <v/>
      </c>
      <c r="N344" s="479">
        <f>IF(K344="","",ROUNDUP(MONTH(K344)/3,0))</f>
        <v/>
      </c>
      <c r="O344" s="479">
        <f>IF(K344="","",IF(MONTH(K344)&lt;=6,1,2))</f>
        <v/>
      </c>
      <c r="P344" s="480">
        <f>IF(B344&lt;&gt;"Actif",0,H344*J344)</f>
        <v/>
      </c>
      <c r="Q344" s="480">
        <f>IF(B344&lt;&gt;"Actif",0,H344*I344)</f>
        <v/>
      </c>
      <c r="R344" s="480">
        <f>IF(B344&lt;&gt;"Actif",0,H344*I344*J344)</f>
        <v/>
      </c>
      <c r="S344" s="479" t="n"/>
    </row>
    <row r="345">
      <c r="A345" s="479">
        <f>IF(C345="","",ROW()-4)</f>
        <v/>
      </c>
      <c r="B345" s="479" t="n"/>
      <c r="C345" s="479" t="n"/>
      <c r="D345" s="479" t="n"/>
      <c r="E345" s="479" t="n"/>
      <c r="F345" s="479" t="n"/>
      <c r="G345" s="479" t="n"/>
      <c r="H345" s="480" t="n"/>
      <c r="I345" s="554" t="n"/>
      <c r="J345" s="554" t="n"/>
      <c r="K345" s="555" t="n"/>
      <c r="L345" s="555" t="n"/>
      <c r="M345" s="479">
        <f>IF(K345="","",YEAR(K345))</f>
        <v/>
      </c>
      <c r="N345" s="479">
        <f>IF(K345="","",ROUNDUP(MONTH(K345)/3,0))</f>
        <v/>
      </c>
      <c r="O345" s="479">
        <f>IF(K345="","",IF(MONTH(K345)&lt;=6,1,2))</f>
        <v/>
      </c>
      <c r="P345" s="480">
        <f>IF(B345&lt;&gt;"Actif",0,H345*J345)</f>
        <v/>
      </c>
      <c r="Q345" s="480">
        <f>IF(B345&lt;&gt;"Actif",0,H345*I345)</f>
        <v/>
      </c>
      <c r="R345" s="480">
        <f>IF(B345&lt;&gt;"Actif",0,H345*I345*J345)</f>
        <v/>
      </c>
      <c r="S345" s="479" t="n"/>
    </row>
    <row r="346">
      <c r="A346" s="479">
        <f>IF(C346="","",ROW()-4)</f>
        <v/>
      </c>
      <c r="B346" s="479" t="n"/>
      <c r="C346" s="479" t="n"/>
      <c r="D346" s="479" t="n"/>
      <c r="E346" s="479" t="n"/>
      <c r="F346" s="479" t="n"/>
      <c r="G346" s="479" t="n"/>
      <c r="H346" s="480" t="n"/>
      <c r="I346" s="554" t="n"/>
      <c r="J346" s="554" t="n"/>
      <c r="K346" s="555" t="n"/>
      <c r="L346" s="555" t="n"/>
      <c r="M346" s="479">
        <f>IF(K346="","",YEAR(K346))</f>
        <v/>
      </c>
      <c r="N346" s="479">
        <f>IF(K346="","",ROUNDUP(MONTH(K346)/3,0))</f>
        <v/>
      </c>
      <c r="O346" s="479">
        <f>IF(K346="","",IF(MONTH(K346)&lt;=6,1,2))</f>
        <v/>
      </c>
      <c r="P346" s="480">
        <f>IF(B346&lt;&gt;"Actif",0,H346*J346)</f>
        <v/>
      </c>
      <c r="Q346" s="480">
        <f>IF(B346&lt;&gt;"Actif",0,H346*I346)</f>
        <v/>
      </c>
      <c r="R346" s="480">
        <f>IF(B346&lt;&gt;"Actif",0,H346*I346*J346)</f>
        <v/>
      </c>
      <c r="S346" s="479" t="n"/>
    </row>
    <row r="347">
      <c r="A347" s="479">
        <f>IF(C347="","",ROW()-4)</f>
        <v/>
      </c>
      <c r="B347" s="479" t="n"/>
      <c r="C347" s="479" t="n"/>
      <c r="D347" s="479" t="n"/>
      <c r="E347" s="479" t="n"/>
      <c r="F347" s="479" t="n"/>
      <c r="G347" s="479" t="n"/>
      <c r="H347" s="480" t="n"/>
      <c r="I347" s="554" t="n"/>
      <c r="J347" s="554" t="n"/>
      <c r="K347" s="555" t="n"/>
      <c r="L347" s="555" t="n"/>
      <c r="M347" s="479">
        <f>IF(K347="","",YEAR(K347))</f>
        <v/>
      </c>
      <c r="N347" s="479">
        <f>IF(K347="","",ROUNDUP(MONTH(K347)/3,0))</f>
        <v/>
      </c>
      <c r="O347" s="479">
        <f>IF(K347="","",IF(MONTH(K347)&lt;=6,1,2))</f>
        <v/>
      </c>
      <c r="P347" s="480">
        <f>IF(B347&lt;&gt;"Actif",0,H347*J347)</f>
        <v/>
      </c>
      <c r="Q347" s="480">
        <f>IF(B347&lt;&gt;"Actif",0,H347*I347)</f>
        <v/>
      </c>
      <c r="R347" s="480">
        <f>IF(B347&lt;&gt;"Actif",0,H347*I347*J347)</f>
        <v/>
      </c>
      <c r="S347" s="479" t="n"/>
    </row>
    <row r="348">
      <c r="A348" s="479">
        <f>IF(C348="","",ROW()-4)</f>
        <v/>
      </c>
      <c r="B348" s="479" t="n"/>
      <c r="C348" s="479" t="n"/>
      <c r="D348" s="479" t="n"/>
      <c r="E348" s="479" t="n"/>
      <c r="F348" s="479" t="n"/>
      <c r="G348" s="479" t="n"/>
      <c r="H348" s="480" t="n"/>
      <c r="I348" s="554" t="n"/>
      <c r="J348" s="554" t="n"/>
      <c r="K348" s="555" t="n"/>
      <c r="L348" s="555" t="n"/>
      <c r="M348" s="479">
        <f>IF(K348="","",YEAR(K348))</f>
        <v/>
      </c>
      <c r="N348" s="479">
        <f>IF(K348="","",ROUNDUP(MONTH(K348)/3,0))</f>
        <v/>
      </c>
      <c r="O348" s="479">
        <f>IF(K348="","",IF(MONTH(K348)&lt;=6,1,2))</f>
        <v/>
      </c>
      <c r="P348" s="480">
        <f>IF(B348&lt;&gt;"Actif",0,H348*J348)</f>
        <v/>
      </c>
      <c r="Q348" s="480">
        <f>IF(B348&lt;&gt;"Actif",0,H348*I348)</f>
        <v/>
      </c>
      <c r="R348" s="480">
        <f>IF(B348&lt;&gt;"Actif",0,H348*I348*J348)</f>
        <v/>
      </c>
      <c r="S348" s="479" t="n"/>
    </row>
    <row r="349">
      <c r="A349" s="479">
        <f>IF(C349="","",ROW()-4)</f>
        <v/>
      </c>
      <c r="B349" s="479" t="n"/>
      <c r="C349" s="479" t="n"/>
      <c r="D349" s="479" t="n"/>
      <c r="E349" s="479" t="n"/>
      <c r="F349" s="479" t="n"/>
      <c r="G349" s="479" t="n"/>
      <c r="H349" s="480" t="n"/>
      <c r="I349" s="554" t="n"/>
      <c r="J349" s="554" t="n"/>
      <c r="K349" s="555" t="n"/>
      <c r="L349" s="555" t="n"/>
      <c r="M349" s="479">
        <f>IF(K349="","",YEAR(K349))</f>
        <v/>
      </c>
      <c r="N349" s="479">
        <f>IF(K349="","",ROUNDUP(MONTH(K349)/3,0))</f>
        <v/>
      </c>
      <c r="O349" s="479">
        <f>IF(K349="","",IF(MONTH(K349)&lt;=6,1,2))</f>
        <v/>
      </c>
      <c r="P349" s="480">
        <f>IF(B349&lt;&gt;"Actif",0,H349*J349)</f>
        <v/>
      </c>
      <c r="Q349" s="480">
        <f>IF(B349&lt;&gt;"Actif",0,H349*I349)</f>
        <v/>
      </c>
      <c r="R349" s="480">
        <f>IF(B349&lt;&gt;"Actif",0,H349*I349*J349)</f>
        <v/>
      </c>
      <c r="S349" s="479" t="n"/>
    </row>
    <row r="350">
      <c r="A350" s="479">
        <f>IF(C350="","",ROW()-4)</f>
        <v/>
      </c>
      <c r="B350" s="479" t="n"/>
      <c r="C350" s="479" t="n"/>
      <c r="D350" s="479" t="n"/>
      <c r="E350" s="479" t="n"/>
      <c r="F350" s="479" t="n"/>
      <c r="G350" s="479" t="n"/>
      <c r="H350" s="480" t="n"/>
      <c r="I350" s="554" t="n"/>
      <c r="J350" s="554" t="n"/>
      <c r="K350" s="555" t="n"/>
      <c r="L350" s="555" t="n"/>
      <c r="M350" s="479">
        <f>IF(K350="","",YEAR(K350))</f>
        <v/>
      </c>
      <c r="N350" s="479">
        <f>IF(K350="","",ROUNDUP(MONTH(K350)/3,0))</f>
        <v/>
      </c>
      <c r="O350" s="479">
        <f>IF(K350="","",IF(MONTH(K350)&lt;=6,1,2))</f>
        <v/>
      </c>
      <c r="P350" s="480">
        <f>IF(B350&lt;&gt;"Actif",0,H350*J350)</f>
        <v/>
      </c>
      <c r="Q350" s="480">
        <f>IF(B350&lt;&gt;"Actif",0,H350*I350)</f>
        <v/>
      </c>
      <c r="R350" s="480">
        <f>IF(B350&lt;&gt;"Actif",0,H350*I350*J350)</f>
        <v/>
      </c>
      <c r="S350" s="479" t="n"/>
    </row>
    <row r="351">
      <c r="A351" s="479">
        <f>IF(C351="","",ROW()-4)</f>
        <v/>
      </c>
      <c r="B351" s="479" t="n"/>
      <c r="C351" s="479" t="n"/>
      <c r="D351" s="479" t="n"/>
      <c r="E351" s="479" t="n"/>
      <c r="F351" s="479" t="n"/>
      <c r="G351" s="479" t="n"/>
      <c r="H351" s="480" t="n"/>
      <c r="I351" s="554" t="n"/>
      <c r="J351" s="554" t="n"/>
      <c r="K351" s="555" t="n"/>
      <c r="L351" s="555" t="n"/>
      <c r="M351" s="479">
        <f>IF(K351="","",YEAR(K351))</f>
        <v/>
      </c>
      <c r="N351" s="479">
        <f>IF(K351="","",ROUNDUP(MONTH(K351)/3,0))</f>
        <v/>
      </c>
      <c r="O351" s="479">
        <f>IF(K351="","",IF(MONTH(K351)&lt;=6,1,2))</f>
        <v/>
      </c>
      <c r="P351" s="480">
        <f>IF(B351&lt;&gt;"Actif",0,H351*J351)</f>
        <v/>
      </c>
      <c r="Q351" s="480">
        <f>IF(B351&lt;&gt;"Actif",0,H351*I351)</f>
        <v/>
      </c>
      <c r="R351" s="480">
        <f>IF(B351&lt;&gt;"Actif",0,H351*I351*J351)</f>
        <v/>
      </c>
      <c r="S351" s="479" t="n"/>
    </row>
    <row r="352">
      <c r="A352" s="479">
        <f>IF(C352="","",ROW()-4)</f>
        <v/>
      </c>
      <c r="B352" s="479" t="n"/>
      <c r="C352" s="479" t="n"/>
      <c r="D352" s="479" t="n"/>
      <c r="E352" s="479" t="n"/>
      <c r="F352" s="479" t="n"/>
      <c r="G352" s="479" t="n"/>
      <c r="H352" s="480" t="n"/>
      <c r="I352" s="554" t="n"/>
      <c r="J352" s="554" t="n"/>
      <c r="K352" s="555" t="n"/>
      <c r="L352" s="555" t="n"/>
      <c r="M352" s="479">
        <f>IF(K352="","",YEAR(K352))</f>
        <v/>
      </c>
      <c r="N352" s="479">
        <f>IF(K352="","",ROUNDUP(MONTH(K352)/3,0))</f>
        <v/>
      </c>
      <c r="O352" s="479">
        <f>IF(K352="","",IF(MONTH(K352)&lt;=6,1,2))</f>
        <v/>
      </c>
      <c r="P352" s="480">
        <f>IF(B352&lt;&gt;"Actif",0,H352*J352)</f>
        <v/>
      </c>
      <c r="Q352" s="480">
        <f>IF(B352&lt;&gt;"Actif",0,H352*I352)</f>
        <v/>
      </c>
      <c r="R352" s="480">
        <f>IF(B352&lt;&gt;"Actif",0,H352*I352*J352)</f>
        <v/>
      </c>
      <c r="S352" s="479" t="n"/>
    </row>
    <row r="353">
      <c r="A353" s="479">
        <f>IF(C353="","",ROW()-4)</f>
        <v/>
      </c>
      <c r="B353" s="479" t="n"/>
      <c r="C353" s="479" t="n"/>
      <c r="D353" s="479" t="n"/>
      <c r="E353" s="479" t="n"/>
      <c r="F353" s="479" t="n"/>
      <c r="G353" s="479" t="n"/>
      <c r="H353" s="480" t="n"/>
      <c r="I353" s="554" t="n"/>
      <c r="J353" s="554" t="n"/>
      <c r="K353" s="555" t="n"/>
      <c r="L353" s="555" t="n"/>
      <c r="M353" s="479">
        <f>IF(K353="","",YEAR(K353))</f>
        <v/>
      </c>
      <c r="N353" s="479">
        <f>IF(K353="","",ROUNDUP(MONTH(K353)/3,0))</f>
        <v/>
      </c>
      <c r="O353" s="479">
        <f>IF(K353="","",IF(MONTH(K353)&lt;=6,1,2))</f>
        <v/>
      </c>
      <c r="P353" s="480">
        <f>IF(B353&lt;&gt;"Actif",0,H353*J353)</f>
        <v/>
      </c>
      <c r="Q353" s="480">
        <f>IF(B353&lt;&gt;"Actif",0,H353*I353)</f>
        <v/>
      </c>
      <c r="R353" s="480">
        <f>IF(B353&lt;&gt;"Actif",0,H353*I353*J353)</f>
        <v/>
      </c>
      <c r="S353" s="479" t="n"/>
    </row>
    <row r="354">
      <c r="A354" s="479">
        <f>IF(C354="","",ROW()-4)</f>
        <v/>
      </c>
      <c r="B354" s="479" t="n"/>
      <c r="C354" s="479" t="n"/>
      <c r="D354" s="479" t="n"/>
      <c r="E354" s="479" t="n"/>
      <c r="F354" s="479" t="n"/>
      <c r="G354" s="479" t="n"/>
      <c r="H354" s="480" t="n"/>
      <c r="I354" s="554" t="n"/>
      <c r="J354" s="554" t="n"/>
      <c r="K354" s="555" t="n"/>
      <c r="L354" s="555" t="n"/>
      <c r="M354" s="479">
        <f>IF(K354="","",YEAR(K354))</f>
        <v/>
      </c>
      <c r="N354" s="479">
        <f>IF(K354="","",ROUNDUP(MONTH(K354)/3,0))</f>
        <v/>
      </c>
      <c r="O354" s="479">
        <f>IF(K354="","",IF(MONTH(K354)&lt;=6,1,2))</f>
        <v/>
      </c>
      <c r="P354" s="480">
        <f>IF(B354&lt;&gt;"Actif",0,H354*J354)</f>
        <v/>
      </c>
      <c r="Q354" s="480">
        <f>IF(B354&lt;&gt;"Actif",0,H354*I354)</f>
        <v/>
      </c>
      <c r="R354" s="480">
        <f>IF(B354&lt;&gt;"Actif",0,H354*I354*J354)</f>
        <v/>
      </c>
      <c r="S354" s="479" t="n"/>
    </row>
    <row r="355">
      <c r="A355" s="479">
        <f>IF(C355="","",ROW()-4)</f>
        <v/>
      </c>
      <c r="B355" s="479" t="n"/>
      <c r="C355" s="479" t="n"/>
      <c r="D355" s="479" t="n"/>
      <c r="E355" s="479" t="n"/>
      <c r="F355" s="479" t="n"/>
      <c r="G355" s="479" t="n"/>
      <c r="H355" s="480" t="n"/>
      <c r="I355" s="554" t="n"/>
      <c r="J355" s="554" t="n"/>
      <c r="K355" s="555" t="n"/>
      <c r="L355" s="555" t="n"/>
      <c r="M355" s="479">
        <f>IF(K355="","",YEAR(K355))</f>
        <v/>
      </c>
      <c r="N355" s="479">
        <f>IF(K355="","",ROUNDUP(MONTH(K355)/3,0))</f>
        <v/>
      </c>
      <c r="O355" s="479">
        <f>IF(K355="","",IF(MONTH(K355)&lt;=6,1,2))</f>
        <v/>
      </c>
      <c r="P355" s="480">
        <f>IF(B355&lt;&gt;"Actif",0,H355*J355)</f>
        <v/>
      </c>
      <c r="Q355" s="480">
        <f>IF(B355&lt;&gt;"Actif",0,H355*I355)</f>
        <v/>
      </c>
      <c r="R355" s="480">
        <f>IF(B355&lt;&gt;"Actif",0,H355*I355*J355)</f>
        <v/>
      </c>
      <c r="S355" s="479" t="n"/>
    </row>
    <row r="356">
      <c r="A356" s="479">
        <f>IF(C356="","",ROW()-4)</f>
        <v/>
      </c>
      <c r="B356" s="479" t="n"/>
      <c r="C356" s="479" t="n"/>
      <c r="D356" s="479" t="n"/>
      <c r="E356" s="479" t="n"/>
      <c r="F356" s="479" t="n"/>
      <c r="G356" s="479" t="n"/>
      <c r="H356" s="480" t="n"/>
      <c r="I356" s="554" t="n"/>
      <c r="J356" s="554" t="n"/>
      <c r="K356" s="555" t="n"/>
      <c r="L356" s="555" t="n"/>
      <c r="M356" s="479">
        <f>IF(K356="","",YEAR(K356))</f>
        <v/>
      </c>
      <c r="N356" s="479">
        <f>IF(K356="","",ROUNDUP(MONTH(K356)/3,0))</f>
        <v/>
      </c>
      <c r="O356" s="479">
        <f>IF(K356="","",IF(MONTH(K356)&lt;=6,1,2))</f>
        <v/>
      </c>
      <c r="P356" s="480">
        <f>IF(B356&lt;&gt;"Actif",0,H356*J356)</f>
        <v/>
      </c>
      <c r="Q356" s="480">
        <f>IF(B356&lt;&gt;"Actif",0,H356*I356)</f>
        <v/>
      </c>
      <c r="R356" s="480">
        <f>IF(B356&lt;&gt;"Actif",0,H356*I356*J356)</f>
        <v/>
      </c>
      <c r="S356" s="479" t="n"/>
    </row>
    <row r="357">
      <c r="A357" s="479">
        <f>IF(C357="","",ROW()-4)</f>
        <v/>
      </c>
      <c r="B357" s="479" t="n"/>
      <c r="C357" s="479" t="n"/>
      <c r="D357" s="479" t="n"/>
      <c r="E357" s="479" t="n"/>
      <c r="F357" s="479" t="n"/>
      <c r="G357" s="479" t="n"/>
      <c r="H357" s="480" t="n"/>
      <c r="I357" s="554" t="n"/>
      <c r="J357" s="554" t="n"/>
      <c r="K357" s="555" t="n"/>
      <c r="L357" s="555" t="n"/>
      <c r="M357" s="479">
        <f>IF(K357="","",YEAR(K357))</f>
        <v/>
      </c>
      <c r="N357" s="479">
        <f>IF(K357="","",ROUNDUP(MONTH(K357)/3,0))</f>
        <v/>
      </c>
      <c r="O357" s="479">
        <f>IF(K357="","",IF(MONTH(K357)&lt;=6,1,2))</f>
        <v/>
      </c>
      <c r="P357" s="480">
        <f>IF(B357&lt;&gt;"Actif",0,H357*J357)</f>
        <v/>
      </c>
      <c r="Q357" s="480">
        <f>IF(B357&lt;&gt;"Actif",0,H357*I357)</f>
        <v/>
      </c>
      <c r="R357" s="480">
        <f>IF(B357&lt;&gt;"Actif",0,H357*I357*J357)</f>
        <v/>
      </c>
      <c r="S357" s="479" t="n"/>
    </row>
    <row r="358">
      <c r="A358" s="479">
        <f>IF(C358="","",ROW()-4)</f>
        <v/>
      </c>
      <c r="B358" s="479" t="n"/>
      <c r="C358" s="479" t="n"/>
      <c r="D358" s="479" t="n"/>
      <c r="E358" s="479" t="n"/>
      <c r="F358" s="479" t="n"/>
      <c r="G358" s="479" t="n"/>
      <c r="H358" s="480" t="n"/>
      <c r="I358" s="554" t="n"/>
      <c r="J358" s="554" t="n"/>
      <c r="K358" s="555" t="n"/>
      <c r="L358" s="555" t="n"/>
      <c r="M358" s="479">
        <f>IF(K358="","",YEAR(K358))</f>
        <v/>
      </c>
      <c r="N358" s="479">
        <f>IF(K358="","",ROUNDUP(MONTH(K358)/3,0))</f>
        <v/>
      </c>
      <c r="O358" s="479">
        <f>IF(K358="","",IF(MONTH(K358)&lt;=6,1,2))</f>
        <v/>
      </c>
      <c r="P358" s="480">
        <f>IF(B358&lt;&gt;"Actif",0,H358*J358)</f>
        <v/>
      </c>
      <c r="Q358" s="480">
        <f>IF(B358&lt;&gt;"Actif",0,H358*I358)</f>
        <v/>
      </c>
      <c r="R358" s="480">
        <f>IF(B358&lt;&gt;"Actif",0,H358*I358*J358)</f>
        <v/>
      </c>
      <c r="S358" s="479" t="n"/>
    </row>
    <row r="359">
      <c r="A359" s="479">
        <f>IF(C359="","",ROW()-4)</f>
        <v/>
      </c>
      <c r="B359" s="479" t="n"/>
      <c r="C359" s="479" t="n"/>
      <c r="D359" s="479" t="n"/>
      <c r="E359" s="479" t="n"/>
      <c r="F359" s="479" t="n"/>
      <c r="G359" s="479" t="n"/>
      <c r="H359" s="480" t="n"/>
      <c r="I359" s="554" t="n"/>
      <c r="J359" s="554" t="n"/>
      <c r="K359" s="555" t="n"/>
      <c r="L359" s="555" t="n"/>
      <c r="M359" s="479">
        <f>IF(K359="","",YEAR(K359))</f>
        <v/>
      </c>
      <c r="N359" s="479">
        <f>IF(K359="","",ROUNDUP(MONTH(K359)/3,0))</f>
        <v/>
      </c>
      <c r="O359" s="479">
        <f>IF(K359="","",IF(MONTH(K359)&lt;=6,1,2))</f>
        <v/>
      </c>
      <c r="P359" s="480">
        <f>IF(B359&lt;&gt;"Actif",0,H359*J359)</f>
        <v/>
      </c>
      <c r="Q359" s="480">
        <f>IF(B359&lt;&gt;"Actif",0,H359*I359)</f>
        <v/>
      </c>
      <c r="R359" s="480">
        <f>IF(B359&lt;&gt;"Actif",0,H359*I359*J359)</f>
        <v/>
      </c>
      <c r="S359" s="479" t="n"/>
    </row>
    <row r="360">
      <c r="A360" s="479">
        <f>IF(C360="","",ROW()-4)</f>
        <v/>
      </c>
      <c r="B360" s="479" t="n"/>
      <c r="C360" s="479" t="n"/>
      <c r="D360" s="479" t="n"/>
      <c r="E360" s="479" t="n"/>
      <c r="F360" s="479" t="n"/>
      <c r="G360" s="479" t="n"/>
      <c r="H360" s="480" t="n"/>
      <c r="I360" s="554" t="n"/>
      <c r="J360" s="554" t="n"/>
      <c r="K360" s="555" t="n"/>
      <c r="L360" s="555" t="n"/>
      <c r="M360" s="479">
        <f>IF(K360="","",YEAR(K360))</f>
        <v/>
      </c>
      <c r="N360" s="479">
        <f>IF(K360="","",ROUNDUP(MONTH(K360)/3,0))</f>
        <v/>
      </c>
      <c r="O360" s="479">
        <f>IF(K360="","",IF(MONTH(K360)&lt;=6,1,2))</f>
        <v/>
      </c>
      <c r="P360" s="480">
        <f>IF(B360&lt;&gt;"Actif",0,H360*J360)</f>
        <v/>
      </c>
      <c r="Q360" s="480">
        <f>IF(B360&lt;&gt;"Actif",0,H360*I360)</f>
        <v/>
      </c>
      <c r="R360" s="480">
        <f>IF(B360&lt;&gt;"Actif",0,H360*I360*J360)</f>
        <v/>
      </c>
      <c r="S360" s="479" t="n"/>
    </row>
    <row r="361">
      <c r="A361" s="479">
        <f>IF(C361="","",ROW()-4)</f>
        <v/>
      </c>
      <c r="B361" s="479" t="n"/>
      <c r="C361" s="479" t="n"/>
      <c r="D361" s="479" t="n"/>
      <c r="E361" s="479" t="n"/>
      <c r="F361" s="479" t="n"/>
      <c r="G361" s="479" t="n"/>
      <c r="H361" s="480" t="n"/>
      <c r="I361" s="554" t="n"/>
      <c r="J361" s="554" t="n"/>
      <c r="K361" s="555" t="n"/>
      <c r="L361" s="555" t="n"/>
      <c r="M361" s="479">
        <f>IF(K361="","",YEAR(K361))</f>
        <v/>
      </c>
      <c r="N361" s="479">
        <f>IF(K361="","",ROUNDUP(MONTH(K361)/3,0))</f>
        <v/>
      </c>
      <c r="O361" s="479">
        <f>IF(K361="","",IF(MONTH(K361)&lt;=6,1,2))</f>
        <v/>
      </c>
      <c r="P361" s="480">
        <f>IF(B361&lt;&gt;"Actif",0,H361*J361)</f>
        <v/>
      </c>
      <c r="Q361" s="480">
        <f>IF(B361&lt;&gt;"Actif",0,H361*I361)</f>
        <v/>
      </c>
      <c r="R361" s="480">
        <f>IF(B361&lt;&gt;"Actif",0,H361*I361*J361)</f>
        <v/>
      </c>
      <c r="S361" s="479" t="n"/>
    </row>
    <row r="362">
      <c r="A362" s="479">
        <f>IF(C362="","",ROW()-4)</f>
        <v/>
      </c>
      <c r="B362" s="479" t="n"/>
      <c r="C362" s="479" t="n"/>
      <c r="D362" s="479" t="n"/>
      <c r="E362" s="479" t="n"/>
      <c r="F362" s="479" t="n"/>
      <c r="G362" s="479" t="n"/>
      <c r="H362" s="480" t="n"/>
      <c r="I362" s="554" t="n"/>
      <c r="J362" s="554" t="n"/>
      <c r="K362" s="555" t="n"/>
      <c r="L362" s="555" t="n"/>
      <c r="M362" s="479">
        <f>IF(K362="","",YEAR(K362))</f>
        <v/>
      </c>
      <c r="N362" s="479">
        <f>IF(K362="","",ROUNDUP(MONTH(K362)/3,0))</f>
        <v/>
      </c>
      <c r="O362" s="479">
        <f>IF(K362="","",IF(MONTH(K362)&lt;=6,1,2))</f>
        <v/>
      </c>
      <c r="P362" s="480">
        <f>IF(B362&lt;&gt;"Actif",0,H362*J362)</f>
        <v/>
      </c>
      <c r="Q362" s="480">
        <f>IF(B362&lt;&gt;"Actif",0,H362*I362)</f>
        <v/>
      </c>
      <c r="R362" s="480">
        <f>IF(B362&lt;&gt;"Actif",0,H362*I362*J362)</f>
        <v/>
      </c>
      <c r="S362" s="479" t="n"/>
    </row>
    <row r="363">
      <c r="A363" s="479">
        <f>IF(C363="","",ROW()-4)</f>
        <v/>
      </c>
      <c r="B363" s="479" t="n"/>
      <c r="C363" s="479" t="n"/>
      <c r="D363" s="479" t="n"/>
      <c r="E363" s="479" t="n"/>
      <c r="F363" s="479" t="n"/>
      <c r="G363" s="479" t="n"/>
      <c r="H363" s="480" t="n"/>
      <c r="I363" s="554" t="n"/>
      <c r="J363" s="554" t="n"/>
      <c r="K363" s="555" t="n"/>
      <c r="L363" s="555" t="n"/>
      <c r="M363" s="479">
        <f>IF(K363="","",YEAR(K363))</f>
        <v/>
      </c>
      <c r="N363" s="479">
        <f>IF(K363="","",ROUNDUP(MONTH(K363)/3,0))</f>
        <v/>
      </c>
      <c r="O363" s="479">
        <f>IF(K363="","",IF(MONTH(K363)&lt;=6,1,2))</f>
        <v/>
      </c>
      <c r="P363" s="480">
        <f>IF(B363&lt;&gt;"Actif",0,H363*J363)</f>
        <v/>
      </c>
      <c r="Q363" s="480">
        <f>IF(B363&lt;&gt;"Actif",0,H363*I363)</f>
        <v/>
      </c>
      <c r="R363" s="480">
        <f>IF(B363&lt;&gt;"Actif",0,H363*I363*J363)</f>
        <v/>
      </c>
      <c r="S363" s="479" t="n"/>
    </row>
    <row r="364">
      <c r="A364" s="479">
        <f>IF(C364="","",ROW()-4)</f>
        <v/>
      </c>
      <c r="B364" s="479" t="n"/>
      <c r="C364" s="479" t="n"/>
      <c r="D364" s="479" t="n"/>
      <c r="E364" s="479" t="n"/>
      <c r="F364" s="479" t="n"/>
      <c r="G364" s="479" t="n"/>
      <c r="H364" s="480" t="n"/>
      <c r="I364" s="554" t="n"/>
      <c r="J364" s="554" t="n"/>
      <c r="K364" s="555" t="n"/>
      <c r="L364" s="555" t="n"/>
      <c r="M364" s="479">
        <f>IF(K364="","",YEAR(K364))</f>
        <v/>
      </c>
      <c r="N364" s="479">
        <f>IF(K364="","",ROUNDUP(MONTH(K364)/3,0))</f>
        <v/>
      </c>
      <c r="O364" s="479">
        <f>IF(K364="","",IF(MONTH(K364)&lt;=6,1,2))</f>
        <v/>
      </c>
      <c r="P364" s="480">
        <f>IF(B364&lt;&gt;"Actif",0,H364*J364)</f>
        <v/>
      </c>
      <c r="Q364" s="480">
        <f>IF(B364&lt;&gt;"Actif",0,H364*I364)</f>
        <v/>
      </c>
      <c r="R364" s="480">
        <f>IF(B364&lt;&gt;"Actif",0,H364*I364*J364)</f>
        <v/>
      </c>
      <c r="S364" s="479" t="n"/>
    </row>
    <row r="365">
      <c r="A365" s="479">
        <f>IF(C365="","",ROW()-4)</f>
        <v/>
      </c>
      <c r="B365" s="479" t="n"/>
      <c r="C365" s="479" t="n"/>
      <c r="D365" s="479" t="n"/>
      <c r="E365" s="479" t="n"/>
      <c r="F365" s="479" t="n"/>
      <c r="G365" s="479" t="n"/>
      <c r="H365" s="480" t="n"/>
      <c r="I365" s="554" t="n"/>
      <c r="J365" s="554" t="n"/>
      <c r="K365" s="555" t="n"/>
      <c r="L365" s="555" t="n"/>
      <c r="M365" s="479">
        <f>IF(K365="","",YEAR(K365))</f>
        <v/>
      </c>
      <c r="N365" s="479">
        <f>IF(K365="","",ROUNDUP(MONTH(K365)/3,0))</f>
        <v/>
      </c>
      <c r="O365" s="479">
        <f>IF(K365="","",IF(MONTH(K365)&lt;=6,1,2))</f>
        <v/>
      </c>
      <c r="P365" s="480">
        <f>IF(B365&lt;&gt;"Actif",0,H365*J365)</f>
        <v/>
      </c>
      <c r="Q365" s="480">
        <f>IF(B365&lt;&gt;"Actif",0,H365*I365)</f>
        <v/>
      </c>
      <c r="R365" s="480">
        <f>IF(B365&lt;&gt;"Actif",0,H365*I365*J365)</f>
        <v/>
      </c>
      <c r="S365" s="479" t="n"/>
    </row>
    <row r="366">
      <c r="A366" s="479">
        <f>IF(C366="","",ROW()-4)</f>
        <v/>
      </c>
      <c r="B366" s="479" t="n"/>
      <c r="C366" s="479" t="n"/>
      <c r="D366" s="479" t="n"/>
      <c r="E366" s="479" t="n"/>
      <c r="F366" s="479" t="n"/>
      <c r="G366" s="479" t="n"/>
      <c r="H366" s="480" t="n"/>
      <c r="I366" s="554" t="n"/>
      <c r="J366" s="554" t="n"/>
      <c r="K366" s="555" t="n"/>
      <c r="L366" s="555" t="n"/>
      <c r="M366" s="479">
        <f>IF(K366="","",YEAR(K366))</f>
        <v/>
      </c>
      <c r="N366" s="479">
        <f>IF(K366="","",ROUNDUP(MONTH(K366)/3,0))</f>
        <v/>
      </c>
      <c r="O366" s="479">
        <f>IF(K366="","",IF(MONTH(K366)&lt;=6,1,2))</f>
        <v/>
      </c>
      <c r="P366" s="480">
        <f>IF(B366&lt;&gt;"Actif",0,H366*J366)</f>
        <v/>
      </c>
      <c r="Q366" s="480">
        <f>IF(B366&lt;&gt;"Actif",0,H366*I366)</f>
        <v/>
      </c>
      <c r="R366" s="480">
        <f>IF(B366&lt;&gt;"Actif",0,H366*I366*J366)</f>
        <v/>
      </c>
      <c r="S366" s="479" t="n"/>
    </row>
    <row r="367">
      <c r="A367" s="479">
        <f>IF(C367="","",ROW()-4)</f>
        <v/>
      </c>
      <c r="B367" s="479" t="n"/>
      <c r="C367" s="479" t="n"/>
      <c r="D367" s="479" t="n"/>
      <c r="E367" s="479" t="n"/>
      <c r="F367" s="479" t="n"/>
      <c r="G367" s="479" t="n"/>
      <c r="H367" s="480" t="n"/>
      <c r="I367" s="554" t="n"/>
      <c r="J367" s="554" t="n"/>
      <c r="K367" s="555" t="n"/>
      <c r="L367" s="555" t="n"/>
      <c r="M367" s="479">
        <f>IF(K367="","",YEAR(K367))</f>
        <v/>
      </c>
      <c r="N367" s="479">
        <f>IF(K367="","",ROUNDUP(MONTH(K367)/3,0))</f>
        <v/>
      </c>
      <c r="O367" s="479">
        <f>IF(K367="","",IF(MONTH(K367)&lt;=6,1,2))</f>
        <v/>
      </c>
      <c r="P367" s="480">
        <f>IF(B367&lt;&gt;"Actif",0,H367*J367)</f>
        <v/>
      </c>
      <c r="Q367" s="480">
        <f>IF(B367&lt;&gt;"Actif",0,H367*I367)</f>
        <v/>
      </c>
      <c r="R367" s="480">
        <f>IF(B367&lt;&gt;"Actif",0,H367*I367*J367)</f>
        <v/>
      </c>
      <c r="S367" s="479" t="n"/>
    </row>
    <row r="368">
      <c r="A368" s="479">
        <f>IF(C368="","",ROW()-4)</f>
        <v/>
      </c>
      <c r="B368" s="479" t="n"/>
      <c r="C368" s="479" t="n"/>
      <c r="D368" s="479" t="n"/>
      <c r="E368" s="479" t="n"/>
      <c r="F368" s="479" t="n"/>
      <c r="G368" s="479" t="n"/>
      <c r="H368" s="480" t="n"/>
      <c r="I368" s="554" t="n"/>
      <c r="J368" s="554" t="n"/>
      <c r="K368" s="555" t="n"/>
      <c r="L368" s="555" t="n"/>
      <c r="M368" s="479">
        <f>IF(K368="","",YEAR(K368))</f>
        <v/>
      </c>
      <c r="N368" s="479">
        <f>IF(K368="","",ROUNDUP(MONTH(K368)/3,0))</f>
        <v/>
      </c>
      <c r="O368" s="479">
        <f>IF(K368="","",IF(MONTH(K368)&lt;=6,1,2))</f>
        <v/>
      </c>
      <c r="P368" s="480">
        <f>IF(B368&lt;&gt;"Actif",0,H368*J368)</f>
        <v/>
      </c>
      <c r="Q368" s="480">
        <f>IF(B368&lt;&gt;"Actif",0,H368*I368)</f>
        <v/>
      </c>
      <c r="R368" s="480">
        <f>IF(B368&lt;&gt;"Actif",0,H368*I368*J368)</f>
        <v/>
      </c>
      <c r="S368" s="479" t="n"/>
    </row>
    <row r="369">
      <c r="A369" s="479">
        <f>IF(C369="","",ROW()-4)</f>
        <v/>
      </c>
      <c r="B369" s="479" t="n"/>
      <c r="C369" s="479" t="n"/>
      <c r="D369" s="479" t="n"/>
      <c r="E369" s="479" t="n"/>
      <c r="F369" s="479" t="n"/>
      <c r="G369" s="479" t="n"/>
      <c r="H369" s="480" t="n"/>
      <c r="I369" s="554" t="n"/>
      <c r="J369" s="554" t="n"/>
      <c r="K369" s="555" t="n"/>
      <c r="L369" s="555" t="n"/>
      <c r="M369" s="479">
        <f>IF(K369="","",YEAR(K369))</f>
        <v/>
      </c>
      <c r="N369" s="479">
        <f>IF(K369="","",ROUNDUP(MONTH(K369)/3,0))</f>
        <v/>
      </c>
      <c r="O369" s="479">
        <f>IF(K369="","",IF(MONTH(K369)&lt;=6,1,2))</f>
        <v/>
      </c>
      <c r="P369" s="480">
        <f>IF(B369&lt;&gt;"Actif",0,H369*J369)</f>
        <v/>
      </c>
      <c r="Q369" s="480">
        <f>IF(B369&lt;&gt;"Actif",0,H369*I369)</f>
        <v/>
      </c>
      <c r="R369" s="480">
        <f>IF(B369&lt;&gt;"Actif",0,H369*I369*J369)</f>
        <v/>
      </c>
      <c r="S369" s="479" t="n"/>
    </row>
    <row r="370">
      <c r="A370" s="479">
        <f>IF(C370="","",ROW()-4)</f>
        <v/>
      </c>
      <c r="B370" s="479" t="n"/>
      <c r="C370" s="479" t="n"/>
      <c r="D370" s="479" t="n"/>
      <c r="E370" s="479" t="n"/>
      <c r="F370" s="479" t="n"/>
      <c r="G370" s="479" t="n"/>
      <c r="H370" s="480" t="n"/>
      <c r="I370" s="554" t="n"/>
      <c r="J370" s="554" t="n"/>
      <c r="K370" s="555" t="n"/>
      <c r="L370" s="555" t="n"/>
      <c r="M370" s="479">
        <f>IF(K370="","",YEAR(K370))</f>
        <v/>
      </c>
      <c r="N370" s="479">
        <f>IF(K370="","",ROUNDUP(MONTH(K370)/3,0))</f>
        <v/>
      </c>
      <c r="O370" s="479">
        <f>IF(K370="","",IF(MONTH(K370)&lt;=6,1,2))</f>
        <v/>
      </c>
      <c r="P370" s="480">
        <f>IF(B370&lt;&gt;"Actif",0,H370*J370)</f>
        <v/>
      </c>
      <c r="Q370" s="480">
        <f>IF(B370&lt;&gt;"Actif",0,H370*I370)</f>
        <v/>
      </c>
      <c r="R370" s="480">
        <f>IF(B370&lt;&gt;"Actif",0,H370*I370*J370)</f>
        <v/>
      </c>
      <c r="S370" s="479" t="n"/>
    </row>
    <row r="371">
      <c r="A371" s="479">
        <f>IF(C371="","",ROW()-4)</f>
        <v/>
      </c>
      <c r="B371" s="479" t="n"/>
      <c r="C371" s="479" t="n"/>
      <c r="D371" s="479" t="n"/>
      <c r="E371" s="479" t="n"/>
      <c r="F371" s="479" t="n"/>
      <c r="G371" s="479" t="n"/>
      <c r="H371" s="480" t="n"/>
      <c r="I371" s="554" t="n"/>
      <c r="J371" s="554" t="n"/>
      <c r="K371" s="555" t="n"/>
      <c r="L371" s="555" t="n"/>
      <c r="M371" s="479">
        <f>IF(K371="","",YEAR(K371))</f>
        <v/>
      </c>
      <c r="N371" s="479">
        <f>IF(K371="","",ROUNDUP(MONTH(K371)/3,0))</f>
        <v/>
      </c>
      <c r="O371" s="479">
        <f>IF(K371="","",IF(MONTH(K371)&lt;=6,1,2))</f>
        <v/>
      </c>
      <c r="P371" s="480">
        <f>IF(B371&lt;&gt;"Actif",0,H371*J371)</f>
        <v/>
      </c>
      <c r="Q371" s="480">
        <f>IF(B371&lt;&gt;"Actif",0,H371*I371)</f>
        <v/>
      </c>
      <c r="R371" s="480">
        <f>IF(B371&lt;&gt;"Actif",0,H371*I371*J371)</f>
        <v/>
      </c>
      <c r="S371" s="479" t="n"/>
    </row>
    <row r="372">
      <c r="A372" s="479">
        <f>IF(C372="","",ROW()-4)</f>
        <v/>
      </c>
      <c r="B372" s="479" t="n"/>
      <c r="C372" s="479" t="n"/>
      <c r="D372" s="479" t="n"/>
      <c r="E372" s="479" t="n"/>
      <c r="F372" s="479" t="n"/>
      <c r="G372" s="479" t="n"/>
      <c r="H372" s="480" t="n"/>
      <c r="I372" s="554" t="n"/>
      <c r="J372" s="554" t="n"/>
      <c r="K372" s="555" t="n"/>
      <c r="L372" s="555" t="n"/>
      <c r="M372" s="479">
        <f>IF(K372="","",YEAR(K372))</f>
        <v/>
      </c>
      <c r="N372" s="479">
        <f>IF(K372="","",ROUNDUP(MONTH(K372)/3,0))</f>
        <v/>
      </c>
      <c r="O372" s="479">
        <f>IF(K372="","",IF(MONTH(K372)&lt;=6,1,2))</f>
        <v/>
      </c>
      <c r="P372" s="480">
        <f>IF(B372&lt;&gt;"Actif",0,H372*J372)</f>
        <v/>
      </c>
      <c r="Q372" s="480">
        <f>IF(B372&lt;&gt;"Actif",0,H372*I372)</f>
        <v/>
      </c>
      <c r="R372" s="480">
        <f>IF(B372&lt;&gt;"Actif",0,H372*I372*J372)</f>
        <v/>
      </c>
      <c r="S372" s="479" t="n"/>
    </row>
    <row r="373">
      <c r="A373" s="479">
        <f>IF(C373="","",ROW()-4)</f>
        <v/>
      </c>
      <c r="B373" s="479" t="n"/>
      <c r="C373" s="479" t="n"/>
      <c r="D373" s="479" t="n"/>
      <c r="E373" s="479" t="n"/>
      <c r="F373" s="479" t="n"/>
      <c r="G373" s="479" t="n"/>
      <c r="H373" s="480" t="n"/>
      <c r="I373" s="554" t="n"/>
      <c r="J373" s="554" t="n"/>
      <c r="K373" s="555" t="n"/>
      <c r="L373" s="555" t="n"/>
      <c r="M373" s="479">
        <f>IF(K373="","",YEAR(K373))</f>
        <v/>
      </c>
      <c r="N373" s="479">
        <f>IF(K373="","",ROUNDUP(MONTH(K373)/3,0))</f>
        <v/>
      </c>
      <c r="O373" s="479">
        <f>IF(K373="","",IF(MONTH(K373)&lt;=6,1,2))</f>
        <v/>
      </c>
      <c r="P373" s="480">
        <f>IF(B373&lt;&gt;"Actif",0,H373*J373)</f>
        <v/>
      </c>
      <c r="Q373" s="480">
        <f>IF(B373&lt;&gt;"Actif",0,H373*I373)</f>
        <v/>
      </c>
      <c r="R373" s="480">
        <f>IF(B373&lt;&gt;"Actif",0,H373*I373*J373)</f>
        <v/>
      </c>
      <c r="S373" s="479" t="n"/>
    </row>
    <row r="374">
      <c r="A374" s="479">
        <f>IF(C374="","",ROW()-4)</f>
        <v/>
      </c>
      <c r="B374" s="479" t="n"/>
      <c r="C374" s="479" t="n"/>
      <c r="D374" s="479" t="n"/>
      <c r="E374" s="479" t="n"/>
      <c r="F374" s="479" t="n"/>
      <c r="G374" s="479" t="n"/>
      <c r="H374" s="480" t="n"/>
      <c r="I374" s="554" t="n"/>
      <c r="J374" s="554" t="n"/>
      <c r="K374" s="555" t="n"/>
      <c r="L374" s="555" t="n"/>
      <c r="M374" s="479">
        <f>IF(K374="","",YEAR(K374))</f>
        <v/>
      </c>
      <c r="N374" s="479">
        <f>IF(K374="","",ROUNDUP(MONTH(K374)/3,0))</f>
        <v/>
      </c>
      <c r="O374" s="479">
        <f>IF(K374="","",IF(MONTH(K374)&lt;=6,1,2))</f>
        <v/>
      </c>
      <c r="P374" s="480">
        <f>IF(B374&lt;&gt;"Actif",0,H374*J374)</f>
        <v/>
      </c>
      <c r="Q374" s="480">
        <f>IF(B374&lt;&gt;"Actif",0,H374*I374)</f>
        <v/>
      </c>
      <c r="R374" s="480">
        <f>IF(B374&lt;&gt;"Actif",0,H374*I374*J374)</f>
        <v/>
      </c>
      <c r="S374" s="479" t="n"/>
    </row>
    <row r="375">
      <c r="A375" s="479">
        <f>IF(C375="","",ROW()-4)</f>
        <v/>
      </c>
      <c r="B375" s="479" t="n"/>
      <c r="C375" s="479" t="n"/>
      <c r="D375" s="479" t="n"/>
      <c r="E375" s="479" t="n"/>
      <c r="F375" s="479" t="n"/>
      <c r="G375" s="479" t="n"/>
      <c r="H375" s="480" t="n"/>
      <c r="I375" s="554" t="n"/>
      <c r="J375" s="554" t="n"/>
      <c r="K375" s="555" t="n"/>
      <c r="L375" s="555" t="n"/>
      <c r="M375" s="479">
        <f>IF(K375="","",YEAR(K375))</f>
        <v/>
      </c>
      <c r="N375" s="479">
        <f>IF(K375="","",ROUNDUP(MONTH(K375)/3,0))</f>
        <v/>
      </c>
      <c r="O375" s="479">
        <f>IF(K375="","",IF(MONTH(K375)&lt;=6,1,2))</f>
        <v/>
      </c>
      <c r="P375" s="480">
        <f>IF(B375&lt;&gt;"Actif",0,H375*J375)</f>
        <v/>
      </c>
      <c r="Q375" s="480">
        <f>IF(B375&lt;&gt;"Actif",0,H375*I375)</f>
        <v/>
      </c>
      <c r="R375" s="480">
        <f>IF(B375&lt;&gt;"Actif",0,H375*I375*J375)</f>
        <v/>
      </c>
      <c r="S375" s="479" t="n"/>
    </row>
    <row r="376">
      <c r="A376" s="479">
        <f>IF(C376="","",ROW()-4)</f>
        <v/>
      </c>
      <c r="B376" s="479" t="n"/>
      <c r="C376" s="479" t="n"/>
      <c r="D376" s="479" t="n"/>
      <c r="E376" s="479" t="n"/>
      <c r="F376" s="479" t="n"/>
      <c r="G376" s="479" t="n"/>
      <c r="H376" s="480" t="n"/>
      <c r="I376" s="554" t="n"/>
      <c r="J376" s="554" t="n"/>
      <c r="K376" s="555" t="n"/>
      <c r="L376" s="555" t="n"/>
      <c r="M376" s="479">
        <f>IF(K376="","",YEAR(K376))</f>
        <v/>
      </c>
      <c r="N376" s="479">
        <f>IF(K376="","",ROUNDUP(MONTH(K376)/3,0))</f>
        <v/>
      </c>
      <c r="O376" s="479">
        <f>IF(K376="","",IF(MONTH(K376)&lt;=6,1,2))</f>
        <v/>
      </c>
      <c r="P376" s="480">
        <f>IF(B376&lt;&gt;"Actif",0,H376*J376)</f>
        <v/>
      </c>
      <c r="Q376" s="480">
        <f>IF(B376&lt;&gt;"Actif",0,H376*I376)</f>
        <v/>
      </c>
      <c r="R376" s="480">
        <f>IF(B376&lt;&gt;"Actif",0,H376*I376*J376)</f>
        <v/>
      </c>
      <c r="S376" s="479" t="n"/>
    </row>
    <row r="377">
      <c r="A377" s="479">
        <f>IF(C377="","",ROW()-4)</f>
        <v/>
      </c>
      <c r="B377" s="479" t="n"/>
      <c r="C377" s="479" t="n"/>
      <c r="D377" s="479" t="n"/>
      <c r="E377" s="479" t="n"/>
      <c r="F377" s="479" t="n"/>
      <c r="G377" s="479" t="n"/>
      <c r="H377" s="480" t="n"/>
      <c r="I377" s="554" t="n"/>
      <c r="J377" s="554" t="n"/>
      <c r="K377" s="555" t="n"/>
      <c r="L377" s="555" t="n"/>
      <c r="M377" s="479">
        <f>IF(K377="","",YEAR(K377))</f>
        <v/>
      </c>
      <c r="N377" s="479">
        <f>IF(K377="","",ROUNDUP(MONTH(K377)/3,0))</f>
        <v/>
      </c>
      <c r="O377" s="479">
        <f>IF(K377="","",IF(MONTH(K377)&lt;=6,1,2))</f>
        <v/>
      </c>
      <c r="P377" s="480">
        <f>IF(B377&lt;&gt;"Actif",0,H377*J377)</f>
        <v/>
      </c>
      <c r="Q377" s="480">
        <f>IF(B377&lt;&gt;"Actif",0,H377*I377)</f>
        <v/>
      </c>
      <c r="R377" s="480">
        <f>IF(B377&lt;&gt;"Actif",0,H377*I377*J377)</f>
        <v/>
      </c>
      <c r="S377" s="479" t="n"/>
    </row>
    <row r="378">
      <c r="A378" s="479">
        <f>IF(C378="","",ROW()-4)</f>
        <v/>
      </c>
      <c r="B378" s="479" t="n"/>
      <c r="C378" s="479" t="n"/>
      <c r="D378" s="479" t="n"/>
      <c r="E378" s="479" t="n"/>
      <c r="F378" s="479" t="n"/>
      <c r="G378" s="479" t="n"/>
      <c r="H378" s="480" t="n"/>
      <c r="I378" s="554" t="n"/>
      <c r="J378" s="554" t="n"/>
      <c r="K378" s="555" t="n"/>
      <c r="L378" s="555" t="n"/>
      <c r="M378" s="479">
        <f>IF(K378="","",YEAR(K378))</f>
        <v/>
      </c>
      <c r="N378" s="479">
        <f>IF(K378="","",ROUNDUP(MONTH(K378)/3,0))</f>
        <v/>
      </c>
      <c r="O378" s="479">
        <f>IF(K378="","",IF(MONTH(K378)&lt;=6,1,2))</f>
        <v/>
      </c>
      <c r="P378" s="480">
        <f>IF(B378&lt;&gt;"Actif",0,H378*J378)</f>
        <v/>
      </c>
      <c r="Q378" s="480">
        <f>IF(B378&lt;&gt;"Actif",0,H378*I378)</f>
        <v/>
      </c>
      <c r="R378" s="480">
        <f>IF(B378&lt;&gt;"Actif",0,H378*I378*J378)</f>
        <v/>
      </c>
      <c r="S378" s="479" t="n"/>
    </row>
    <row r="379">
      <c r="A379" s="479">
        <f>IF(C379="","",ROW()-4)</f>
        <v/>
      </c>
      <c r="B379" s="479" t="n"/>
      <c r="C379" s="479" t="n"/>
      <c r="D379" s="479" t="n"/>
      <c r="E379" s="479" t="n"/>
      <c r="F379" s="479" t="n"/>
      <c r="G379" s="479" t="n"/>
      <c r="H379" s="480" t="n"/>
      <c r="I379" s="554" t="n"/>
      <c r="J379" s="554" t="n"/>
      <c r="K379" s="555" t="n"/>
      <c r="L379" s="555" t="n"/>
      <c r="M379" s="479">
        <f>IF(K379="","",YEAR(K379))</f>
        <v/>
      </c>
      <c r="N379" s="479">
        <f>IF(K379="","",ROUNDUP(MONTH(K379)/3,0))</f>
        <v/>
      </c>
      <c r="O379" s="479">
        <f>IF(K379="","",IF(MONTH(K379)&lt;=6,1,2))</f>
        <v/>
      </c>
      <c r="P379" s="480">
        <f>IF(B379&lt;&gt;"Actif",0,H379*J379)</f>
        <v/>
      </c>
      <c r="Q379" s="480">
        <f>IF(B379&lt;&gt;"Actif",0,H379*I379)</f>
        <v/>
      </c>
      <c r="R379" s="480">
        <f>IF(B379&lt;&gt;"Actif",0,H379*I379*J379)</f>
        <v/>
      </c>
      <c r="S379" s="479" t="n"/>
    </row>
    <row r="380">
      <c r="A380" s="479">
        <f>IF(C380="","",ROW()-4)</f>
        <v/>
      </c>
      <c r="B380" s="479" t="n"/>
      <c r="C380" s="479" t="n"/>
      <c r="D380" s="479" t="n"/>
      <c r="E380" s="479" t="n"/>
      <c r="F380" s="479" t="n"/>
      <c r="G380" s="479" t="n"/>
      <c r="H380" s="480" t="n"/>
      <c r="I380" s="554" t="n"/>
      <c r="J380" s="554" t="n"/>
      <c r="K380" s="555" t="n"/>
      <c r="L380" s="555" t="n"/>
      <c r="M380" s="479">
        <f>IF(K380="","",YEAR(K380))</f>
        <v/>
      </c>
      <c r="N380" s="479">
        <f>IF(K380="","",ROUNDUP(MONTH(K380)/3,0))</f>
        <v/>
      </c>
      <c r="O380" s="479">
        <f>IF(K380="","",IF(MONTH(K380)&lt;=6,1,2))</f>
        <v/>
      </c>
      <c r="P380" s="480">
        <f>IF(B380&lt;&gt;"Actif",0,H380*J380)</f>
        <v/>
      </c>
      <c r="Q380" s="480">
        <f>IF(B380&lt;&gt;"Actif",0,H380*I380)</f>
        <v/>
      </c>
      <c r="R380" s="480">
        <f>IF(B380&lt;&gt;"Actif",0,H380*I380*J380)</f>
        <v/>
      </c>
      <c r="S380" s="479" t="n"/>
    </row>
    <row r="381">
      <c r="A381" s="479">
        <f>IF(C381="","",ROW()-4)</f>
        <v/>
      </c>
      <c r="B381" s="479" t="n"/>
      <c r="C381" s="479" t="n"/>
      <c r="D381" s="479" t="n"/>
      <c r="E381" s="479" t="n"/>
      <c r="F381" s="479" t="n"/>
      <c r="G381" s="479" t="n"/>
      <c r="H381" s="480" t="n"/>
      <c r="I381" s="554" t="n"/>
      <c r="J381" s="554" t="n"/>
      <c r="K381" s="555" t="n"/>
      <c r="L381" s="555" t="n"/>
      <c r="M381" s="479">
        <f>IF(K381="","",YEAR(K381))</f>
        <v/>
      </c>
      <c r="N381" s="479">
        <f>IF(K381="","",ROUNDUP(MONTH(K381)/3,0))</f>
        <v/>
      </c>
      <c r="O381" s="479">
        <f>IF(K381="","",IF(MONTH(K381)&lt;=6,1,2))</f>
        <v/>
      </c>
      <c r="P381" s="480">
        <f>IF(B381&lt;&gt;"Actif",0,H381*J381)</f>
        <v/>
      </c>
      <c r="Q381" s="480">
        <f>IF(B381&lt;&gt;"Actif",0,H381*I381)</f>
        <v/>
      </c>
      <c r="R381" s="480">
        <f>IF(B381&lt;&gt;"Actif",0,H381*I381*J381)</f>
        <v/>
      </c>
      <c r="S381" s="479" t="n"/>
    </row>
    <row r="382">
      <c r="A382" s="479">
        <f>IF(C382="","",ROW()-4)</f>
        <v/>
      </c>
      <c r="B382" s="479" t="n"/>
      <c r="C382" s="479" t="n"/>
      <c r="D382" s="479" t="n"/>
      <c r="E382" s="479" t="n"/>
      <c r="F382" s="479" t="n"/>
      <c r="G382" s="479" t="n"/>
      <c r="H382" s="480" t="n"/>
      <c r="I382" s="554" t="n"/>
      <c r="J382" s="554" t="n"/>
      <c r="K382" s="555" t="n"/>
      <c r="L382" s="555" t="n"/>
      <c r="M382" s="479">
        <f>IF(K382="","",YEAR(K382))</f>
        <v/>
      </c>
      <c r="N382" s="479">
        <f>IF(K382="","",ROUNDUP(MONTH(K382)/3,0))</f>
        <v/>
      </c>
      <c r="O382" s="479">
        <f>IF(K382="","",IF(MONTH(K382)&lt;=6,1,2))</f>
        <v/>
      </c>
      <c r="P382" s="480">
        <f>IF(B382&lt;&gt;"Actif",0,H382*J382)</f>
        <v/>
      </c>
      <c r="Q382" s="480">
        <f>IF(B382&lt;&gt;"Actif",0,H382*I382)</f>
        <v/>
      </c>
      <c r="R382" s="480">
        <f>IF(B382&lt;&gt;"Actif",0,H382*I382*J382)</f>
        <v/>
      </c>
      <c r="S382" s="479" t="n"/>
    </row>
    <row r="383">
      <c r="A383" s="479">
        <f>IF(C383="","",ROW()-4)</f>
        <v/>
      </c>
      <c r="B383" s="479" t="n"/>
      <c r="C383" s="479" t="n"/>
      <c r="D383" s="479" t="n"/>
      <c r="E383" s="479" t="n"/>
      <c r="F383" s="479" t="n"/>
      <c r="G383" s="479" t="n"/>
      <c r="H383" s="480" t="n"/>
      <c r="I383" s="554" t="n"/>
      <c r="J383" s="554" t="n"/>
      <c r="K383" s="555" t="n"/>
      <c r="L383" s="555" t="n"/>
      <c r="M383" s="479">
        <f>IF(K383="","",YEAR(K383))</f>
        <v/>
      </c>
      <c r="N383" s="479">
        <f>IF(K383="","",ROUNDUP(MONTH(K383)/3,0))</f>
        <v/>
      </c>
      <c r="O383" s="479">
        <f>IF(K383="","",IF(MONTH(K383)&lt;=6,1,2))</f>
        <v/>
      </c>
      <c r="P383" s="480">
        <f>IF(B383&lt;&gt;"Actif",0,H383*J383)</f>
        <v/>
      </c>
      <c r="Q383" s="480">
        <f>IF(B383&lt;&gt;"Actif",0,H383*I383)</f>
        <v/>
      </c>
      <c r="R383" s="480">
        <f>IF(B383&lt;&gt;"Actif",0,H383*I383*J383)</f>
        <v/>
      </c>
      <c r="S383" s="479" t="n"/>
    </row>
    <row r="384">
      <c r="A384" s="479">
        <f>IF(C384="","",ROW()-4)</f>
        <v/>
      </c>
      <c r="B384" s="479" t="n"/>
      <c r="C384" s="479" t="n"/>
      <c r="D384" s="479" t="n"/>
      <c r="E384" s="479" t="n"/>
      <c r="F384" s="479" t="n"/>
      <c r="G384" s="479" t="n"/>
      <c r="H384" s="480" t="n"/>
      <c r="I384" s="554" t="n"/>
      <c r="J384" s="554" t="n"/>
      <c r="K384" s="555" t="n"/>
      <c r="L384" s="555" t="n"/>
      <c r="M384" s="479">
        <f>IF(K384="","",YEAR(K384))</f>
        <v/>
      </c>
      <c r="N384" s="479">
        <f>IF(K384="","",ROUNDUP(MONTH(K384)/3,0))</f>
        <v/>
      </c>
      <c r="O384" s="479">
        <f>IF(K384="","",IF(MONTH(K384)&lt;=6,1,2))</f>
        <v/>
      </c>
      <c r="P384" s="480">
        <f>IF(B384&lt;&gt;"Actif",0,H384*J384)</f>
        <v/>
      </c>
      <c r="Q384" s="480">
        <f>IF(B384&lt;&gt;"Actif",0,H384*I384)</f>
        <v/>
      </c>
      <c r="R384" s="480">
        <f>IF(B384&lt;&gt;"Actif",0,H384*I384*J384)</f>
        <v/>
      </c>
      <c r="S384" s="479" t="n"/>
    </row>
    <row r="385">
      <c r="A385" s="479">
        <f>IF(C385="","",ROW()-4)</f>
        <v/>
      </c>
      <c r="B385" s="479" t="n"/>
      <c r="C385" s="479" t="n"/>
      <c r="D385" s="479" t="n"/>
      <c r="E385" s="479" t="n"/>
      <c r="F385" s="479" t="n"/>
      <c r="G385" s="479" t="n"/>
      <c r="H385" s="480" t="n"/>
      <c r="I385" s="554" t="n"/>
      <c r="J385" s="554" t="n"/>
      <c r="K385" s="555" t="n"/>
      <c r="L385" s="555" t="n"/>
      <c r="M385" s="479">
        <f>IF(K385="","",YEAR(K385))</f>
        <v/>
      </c>
      <c r="N385" s="479">
        <f>IF(K385="","",ROUNDUP(MONTH(K385)/3,0))</f>
        <v/>
      </c>
      <c r="O385" s="479">
        <f>IF(K385="","",IF(MONTH(K385)&lt;=6,1,2))</f>
        <v/>
      </c>
      <c r="P385" s="480">
        <f>IF(B385&lt;&gt;"Actif",0,H385*J385)</f>
        <v/>
      </c>
      <c r="Q385" s="480">
        <f>IF(B385&lt;&gt;"Actif",0,H385*I385)</f>
        <v/>
      </c>
      <c r="R385" s="480">
        <f>IF(B385&lt;&gt;"Actif",0,H385*I385*J385)</f>
        <v/>
      </c>
      <c r="S385" s="479" t="n"/>
    </row>
    <row r="386">
      <c r="A386" s="479">
        <f>IF(C386="","",ROW()-4)</f>
        <v/>
      </c>
      <c r="B386" s="479" t="n"/>
      <c r="C386" s="479" t="n"/>
      <c r="D386" s="479" t="n"/>
      <c r="E386" s="479" t="n"/>
      <c r="F386" s="479" t="n"/>
      <c r="G386" s="479" t="n"/>
      <c r="H386" s="480" t="n"/>
      <c r="I386" s="554" t="n"/>
      <c r="J386" s="554" t="n"/>
      <c r="K386" s="555" t="n"/>
      <c r="L386" s="555" t="n"/>
      <c r="M386" s="479">
        <f>IF(K386="","",YEAR(K386))</f>
        <v/>
      </c>
      <c r="N386" s="479">
        <f>IF(K386="","",ROUNDUP(MONTH(K386)/3,0))</f>
        <v/>
      </c>
      <c r="O386" s="479">
        <f>IF(K386="","",IF(MONTH(K386)&lt;=6,1,2))</f>
        <v/>
      </c>
      <c r="P386" s="480">
        <f>IF(B386&lt;&gt;"Actif",0,H386*J386)</f>
        <v/>
      </c>
      <c r="Q386" s="480">
        <f>IF(B386&lt;&gt;"Actif",0,H386*I386)</f>
        <v/>
      </c>
      <c r="R386" s="480">
        <f>IF(B386&lt;&gt;"Actif",0,H386*I386*J386)</f>
        <v/>
      </c>
      <c r="S386" s="479" t="n"/>
    </row>
    <row r="387">
      <c r="A387" s="479">
        <f>IF(C387="","",ROW()-4)</f>
        <v/>
      </c>
      <c r="B387" s="479" t="n"/>
      <c r="C387" s="479" t="n"/>
      <c r="D387" s="479" t="n"/>
      <c r="E387" s="479" t="n"/>
      <c r="F387" s="479" t="n"/>
      <c r="G387" s="479" t="n"/>
      <c r="H387" s="480" t="n"/>
      <c r="I387" s="554" t="n"/>
      <c r="J387" s="554" t="n"/>
      <c r="K387" s="555" t="n"/>
      <c r="L387" s="555" t="n"/>
      <c r="M387" s="479">
        <f>IF(K387="","",YEAR(K387))</f>
        <v/>
      </c>
      <c r="N387" s="479">
        <f>IF(K387="","",ROUNDUP(MONTH(K387)/3,0))</f>
        <v/>
      </c>
      <c r="O387" s="479">
        <f>IF(K387="","",IF(MONTH(K387)&lt;=6,1,2))</f>
        <v/>
      </c>
      <c r="P387" s="480">
        <f>IF(B387&lt;&gt;"Actif",0,H387*J387)</f>
        <v/>
      </c>
      <c r="Q387" s="480">
        <f>IF(B387&lt;&gt;"Actif",0,H387*I387)</f>
        <v/>
      </c>
      <c r="R387" s="480">
        <f>IF(B387&lt;&gt;"Actif",0,H387*I387*J387)</f>
        <v/>
      </c>
      <c r="S387" s="479" t="n"/>
    </row>
    <row r="388">
      <c r="A388" s="479">
        <f>IF(C388="","",ROW()-4)</f>
        <v/>
      </c>
      <c r="B388" s="479" t="n"/>
      <c r="C388" s="479" t="n"/>
      <c r="D388" s="479" t="n"/>
      <c r="E388" s="479" t="n"/>
      <c r="F388" s="479" t="n"/>
      <c r="G388" s="479" t="n"/>
      <c r="H388" s="480" t="n"/>
      <c r="I388" s="554" t="n"/>
      <c r="J388" s="554" t="n"/>
      <c r="K388" s="555" t="n"/>
      <c r="L388" s="555" t="n"/>
      <c r="M388" s="479">
        <f>IF(K388="","",YEAR(K388))</f>
        <v/>
      </c>
      <c r="N388" s="479">
        <f>IF(K388="","",ROUNDUP(MONTH(K388)/3,0))</f>
        <v/>
      </c>
      <c r="O388" s="479">
        <f>IF(K388="","",IF(MONTH(K388)&lt;=6,1,2))</f>
        <v/>
      </c>
      <c r="P388" s="480">
        <f>IF(B388&lt;&gt;"Actif",0,H388*J388)</f>
        <v/>
      </c>
      <c r="Q388" s="480">
        <f>IF(B388&lt;&gt;"Actif",0,H388*I388)</f>
        <v/>
      </c>
      <c r="R388" s="480">
        <f>IF(B388&lt;&gt;"Actif",0,H388*I388*J388)</f>
        <v/>
      </c>
      <c r="S388" s="479" t="n"/>
    </row>
    <row r="389">
      <c r="A389" s="479">
        <f>IF(C389="","",ROW()-4)</f>
        <v/>
      </c>
      <c r="B389" s="479" t="n"/>
      <c r="C389" s="479" t="n"/>
      <c r="D389" s="479" t="n"/>
      <c r="E389" s="479" t="n"/>
      <c r="F389" s="479" t="n"/>
      <c r="G389" s="479" t="n"/>
      <c r="H389" s="480" t="n"/>
      <c r="I389" s="554" t="n"/>
      <c r="J389" s="554" t="n"/>
      <c r="K389" s="555" t="n"/>
      <c r="L389" s="555" t="n"/>
      <c r="M389" s="479">
        <f>IF(K389="","",YEAR(K389))</f>
        <v/>
      </c>
      <c r="N389" s="479">
        <f>IF(K389="","",ROUNDUP(MONTH(K389)/3,0))</f>
        <v/>
      </c>
      <c r="O389" s="479">
        <f>IF(K389="","",IF(MONTH(K389)&lt;=6,1,2))</f>
        <v/>
      </c>
      <c r="P389" s="480">
        <f>IF(B389&lt;&gt;"Actif",0,H389*J389)</f>
        <v/>
      </c>
      <c r="Q389" s="480">
        <f>IF(B389&lt;&gt;"Actif",0,H389*I389)</f>
        <v/>
      </c>
      <c r="R389" s="480">
        <f>IF(B389&lt;&gt;"Actif",0,H389*I389*J389)</f>
        <v/>
      </c>
      <c r="S389" s="479" t="n"/>
    </row>
    <row r="390">
      <c r="A390" s="479">
        <f>IF(C390="","",ROW()-4)</f>
        <v/>
      </c>
      <c r="B390" s="479" t="n"/>
      <c r="C390" s="479" t="n"/>
      <c r="D390" s="479" t="n"/>
      <c r="E390" s="479" t="n"/>
      <c r="F390" s="479" t="n"/>
      <c r="G390" s="479" t="n"/>
      <c r="H390" s="480" t="n"/>
      <c r="I390" s="554" t="n"/>
      <c r="J390" s="554" t="n"/>
      <c r="K390" s="555" t="n"/>
      <c r="L390" s="555" t="n"/>
      <c r="M390" s="479">
        <f>IF(K390="","",YEAR(K390))</f>
        <v/>
      </c>
      <c r="N390" s="479">
        <f>IF(K390="","",ROUNDUP(MONTH(K390)/3,0))</f>
        <v/>
      </c>
      <c r="O390" s="479">
        <f>IF(K390="","",IF(MONTH(K390)&lt;=6,1,2))</f>
        <v/>
      </c>
      <c r="P390" s="480">
        <f>IF(B390&lt;&gt;"Actif",0,H390*J390)</f>
        <v/>
      </c>
      <c r="Q390" s="480">
        <f>IF(B390&lt;&gt;"Actif",0,H390*I390)</f>
        <v/>
      </c>
      <c r="R390" s="480">
        <f>IF(B390&lt;&gt;"Actif",0,H390*I390*J390)</f>
        <v/>
      </c>
      <c r="S390" s="479" t="n"/>
    </row>
    <row r="391">
      <c r="A391" s="479">
        <f>IF(C391="","",ROW()-4)</f>
        <v/>
      </c>
      <c r="B391" s="479" t="n"/>
      <c r="C391" s="479" t="n"/>
      <c r="D391" s="479" t="n"/>
      <c r="E391" s="479" t="n"/>
      <c r="F391" s="479" t="n"/>
      <c r="G391" s="479" t="n"/>
      <c r="H391" s="480" t="n"/>
      <c r="I391" s="554" t="n"/>
      <c r="J391" s="554" t="n"/>
      <c r="K391" s="555" t="n"/>
      <c r="L391" s="555" t="n"/>
      <c r="M391" s="479">
        <f>IF(K391="","",YEAR(K391))</f>
        <v/>
      </c>
      <c r="N391" s="479">
        <f>IF(K391="","",ROUNDUP(MONTH(K391)/3,0))</f>
        <v/>
      </c>
      <c r="O391" s="479">
        <f>IF(K391="","",IF(MONTH(K391)&lt;=6,1,2))</f>
        <v/>
      </c>
      <c r="P391" s="480">
        <f>IF(B391&lt;&gt;"Actif",0,H391*J391)</f>
        <v/>
      </c>
      <c r="Q391" s="480">
        <f>IF(B391&lt;&gt;"Actif",0,H391*I391)</f>
        <v/>
      </c>
      <c r="R391" s="480">
        <f>IF(B391&lt;&gt;"Actif",0,H391*I391*J391)</f>
        <v/>
      </c>
      <c r="S391" s="479" t="n"/>
    </row>
    <row r="392">
      <c r="A392" s="479">
        <f>IF(C392="","",ROW()-4)</f>
        <v/>
      </c>
      <c r="B392" s="479" t="n"/>
      <c r="C392" s="479" t="n"/>
      <c r="D392" s="479" t="n"/>
      <c r="E392" s="479" t="n"/>
      <c r="F392" s="479" t="n"/>
      <c r="G392" s="479" t="n"/>
      <c r="H392" s="480" t="n"/>
      <c r="I392" s="554" t="n"/>
      <c r="J392" s="554" t="n"/>
      <c r="K392" s="555" t="n"/>
      <c r="L392" s="555" t="n"/>
      <c r="M392" s="479">
        <f>IF(K392="","",YEAR(K392))</f>
        <v/>
      </c>
      <c r="N392" s="479">
        <f>IF(K392="","",ROUNDUP(MONTH(K392)/3,0))</f>
        <v/>
      </c>
      <c r="O392" s="479">
        <f>IF(K392="","",IF(MONTH(K392)&lt;=6,1,2))</f>
        <v/>
      </c>
      <c r="P392" s="480">
        <f>IF(B392&lt;&gt;"Actif",0,H392*J392)</f>
        <v/>
      </c>
      <c r="Q392" s="480">
        <f>IF(B392&lt;&gt;"Actif",0,H392*I392)</f>
        <v/>
      </c>
      <c r="R392" s="480">
        <f>IF(B392&lt;&gt;"Actif",0,H392*I392*J392)</f>
        <v/>
      </c>
      <c r="S392" s="479" t="n"/>
    </row>
    <row r="393">
      <c r="A393" s="479">
        <f>IF(C393="","",ROW()-4)</f>
        <v/>
      </c>
      <c r="B393" s="479" t="n"/>
      <c r="C393" s="479" t="n"/>
      <c r="D393" s="479" t="n"/>
      <c r="E393" s="479" t="n"/>
      <c r="F393" s="479" t="n"/>
      <c r="G393" s="479" t="n"/>
      <c r="H393" s="480" t="n"/>
      <c r="I393" s="554" t="n"/>
      <c r="J393" s="554" t="n"/>
      <c r="K393" s="555" t="n"/>
      <c r="L393" s="555" t="n"/>
      <c r="M393" s="479">
        <f>IF(K393="","",YEAR(K393))</f>
        <v/>
      </c>
      <c r="N393" s="479">
        <f>IF(K393="","",ROUNDUP(MONTH(K393)/3,0))</f>
        <v/>
      </c>
      <c r="O393" s="479">
        <f>IF(K393="","",IF(MONTH(K393)&lt;=6,1,2))</f>
        <v/>
      </c>
      <c r="P393" s="480">
        <f>IF(B393&lt;&gt;"Actif",0,H393*J393)</f>
        <v/>
      </c>
      <c r="Q393" s="480">
        <f>IF(B393&lt;&gt;"Actif",0,H393*I393)</f>
        <v/>
      </c>
      <c r="R393" s="480">
        <f>IF(B393&lt;&gt;"Actif",0,H393*I393*J393)</f>
        <v/>
      </c>
      <c r="S393" s="479" t="n"/>
    </row>
    <row r="394">
      <c r="A394" s="479">
        <f>IF(C394="","",ROW()-4)</f>
        <v/>
      </c>
      <c r="B394" s="479" t="n"/>
      <c r="C394" s="479" t="n"/>
      <c r="D394" s="479" t="n"/>
      <c r="E394" s="479" t="n"/>
      <c r="F394" s="479" t="n"/>
      <c r="G394" s="479" t="n"/>
      <c r="H394" s="480" t="n"/>
      <c r="I394" s="554" t="n"/>
      <c r="J394" s="554" t="n"/>
      <c r="K394" s="555" t="n"/>
      <c r="L394" s="555" t="n"/>
      <c r="M394" s="479">
        <f>IF(K394="","",YEAR(K394))</f>
        <v/>
      </c>
      <c r="N394" s="479">
        <f>IF(K394="","",ROUNDUP(MONTH(K394)/3,0))</f>
        <v/>
      </c>
      <c r="O394" s="479">
        <f>IF(K394="","",IF(MONTH(K394)&lt;=6,1,2))</f>
        <v/>
      </c>
      <c r="P394" s="480">
        <f>IF(B394&lt;&gt;"Actif",0,H394*J394)</f>
        <v/>
      </c>
      <c r="Q394" s="480">
        <f>IF(B394&lt;&gt;"Actif",0,H394*I394)</f>
        <v/>
      </c>
      <c r="R394" s="480">
        <f>IF(B394&lt;&gt;"Actif",0,H394*I394*J394)</f>
        <v/>
      </c>
      <c r="S394" s="479" t="n"/>
    </row>
    <row r="395">
      <c r="A395" s="479">
        <f>IF(C395="","",ROW()-4)</f>
        <v/>
      </c>
      <c r="B395" s="479" t="n"/>
      <c r="C395" s="479" t="n"/>
      <c r="D395" s="479" t="n"/>
      <c r="E395" s="479" t="n"/>
      <c r="F395" s="479" t="n"/>
      <c r="G395" s="479" t="n"/>
      <c r="H395" s="480" t="n"/>
      <c r="I395" s="554" t="n"/>
      <c r="J395" s="554" t="n"/>
      <c r="K395" s="555" t="n"/>
      <c r="L395" s="555" t="n"/>
      <c r="M395" s="479">
        <f>IF(K395="","",YEAR(K395))</f>
        <v/>
      </c>
      <c r="N395" s="479">
        <f>IF(K395="","",ROUNDUP(MONTH(K395)/3,0))</f>
        <v/>
      </c>
      <c r="O395" s="479">
        <f>IF(K395="","",IF(MONTH(K395)&lt;=6,1,2))</f>
        <v/>
      </c>
      <c r="P395" s="480">
        <f>IF(B395&lt;&gt;"Actif",0,H395*J395)</f>
        <v/>
      </c>
      <c r="Q395" s="480">
        <f>IF(B395&lt;&gt;"Actif",0,H395*I395)</f>
        <v/>
      </c>
      <c r="R395" s="480">
        <f>IF(B395&lt;&gt;"Actif",0,H395*I395*J395)</f>
        <v/>
      </c>
      <c r="S395" s="479" t="n"/>
    </row>
    <row r="396">
      <c r="A396" s="479">
        <f>IF(C396="","",ROW()-4)</f>
        <v/>
      </c>
      <c r="B396" s="479" t="n"/>
      <c r="C396" s="479" t="n"/>
      <c r="D396" s="479" t="n"/>
      <c r="E396" s="479" t="n"/>
      <c r="F396" s="479" t="n"/>
      <c r="G396" s="479" t="n"/>
      <c r="H396" s="480" t="n"/>
      <c r="I396" s="554" t="n"/>
      <c r="J396" s="554" t="n"/>
      <c r="K396" s="555" t="n"/>
      <c r="L396" s="555" t="n"/>
      <c r="M396" s="479">
        <f>IF(K396="","",YEAR(K396))</f>
        <v/>
      </c>
      <c r="N396" s="479">
        <f>IF(K396="","",ROUNDUP(MONTH(K396)/3,0))</f>
        <v/>
      </c>
      <c r="O396" s="479">
        <f>IF(K396="","",IF(MONTH(K396)&lt;=6,1,2))</f>
        <v/>
      </c>
      <c r="P396" s="480">
        <f>IF(B396&lt;&gt;"Actif",0,H396*J396)</f>
        <v/>
      </c>
      <c r="Q396" s="480">
        <f>IF(B396&lt;&gt;"Actif",0,H396*I396)</f>
        <v/>
      </c>
      <c r="R396" s="480">
        <f>IF(B396&lt;&gt;"Actif",0,H396*I396*J396)</f>
        <v/>
      </c>
      <c r="S396" s="479" t="n"/>
    </row>
    <row r="397">
      <c r="A397" s="479">
        <f>IF(C397="","",ROW()-4)</f>
        <v/>
      </c>
      <c r="B397" s="479" t="n"/>
      <c r="C397" s="479" t="n"/>
      <c r="D397" s="479" t="n"/>
      <c r="E397" s="479" t="n"/>
      <c r="F397" s="479" t="n"/>
      <c r="G397" s="479" t="n"/>
      <c r="H397" s="480" t="n"/>
      <c r="I397" s="554" t="n"/>
      <c r="J397" s="554" t="n"/>
      <c r="K397" s="555" t="n"/>
      <c r="L397" s="555" t="n"/>
      <c r="M397" s="479">
        <f>IF(K397="","",YEAR(K397))</f>
        <v/>
      </c>
      <c r="N397" s="479">
        <f>IF(K397="","",ROUNDUP(MONTH(K397)/3,0))</f>
        <v/>
      </c>
      <c r="O397" s="479">
        <f>IF(K397="","",IF(MONTH(K397)&lt;=6,1,2))</f>
        <v/>
      </c>
      <c r="P397" s="480">
        <f>IF(B397&lt;&gt;"Actif",0,H397*J397)</f>
        <v/>
      </c>
      <c r="Q397" s="480">
        <f>IF(B397&lt;&gt;"Actif",0,H397*I397)</f>
        <v/>
      </c>
      <c r="R397" s="480">
        <f>IF(B397&lt;&gt;"Actif",0,H397*I397*J397)</f>
        <v/>
      </c>
      <c r="S397" s="479" t="n"/>
    </row>
    <row r="398">
      <c r="A398" s="479">
        <f>IF(C398="","",ROW()-4)</f>
        <v/>
      </c>
      <c r="B398" s="479" t="n"/>
      <c r="C398" s="479" t="n"/>
      <c r="D398" s="479" t="n"/>
      <c r="E398" s="479" t="n"/>
      <c r="F398" s="479" t="n"/>
      <c r="G398" s="479" t="n"/>
      <c r="H398" s="480" t="n"/>
      <c r="I398" s="554" t="n"/>
      <c r="J398" s="554" t="n"/>
      <c r="K398" s="555" t="n"/>
      <c r="L398" s="555" t="n"/>
      <c r="M398" s="479">
        <f>IF(K398="","",YEAR(K398))</f>
        <v/>
      </c>
      <c r="N398" s="479">
        <f>IF(K398="","",ROUNDUP(MONTH(K398)/3,0))</f>
        <v/>
      </c>
      <c r="O398" s="479">
        <f>IF(K398="","",IF(MONTH(K398)&lt;=6,1,2))</f>
        <v/>
      </c>
      <c r="P398" s="480">
        <f>IF(B398&lt;&gt;"Actif",0,H398*J398)</f>
        <v/>
      </c>
      <c r="Q398" s="480">
        <f>IF(B398&lt;&gt;"Actif",0,H398*I398)</f>
        <v/>
      </c>
      <c r="R398" s="480">
        <f>IF(B398&lt;&gt;"Actif",0,H398*I398*J398)</f>
        <v/>
      </c>
      <c r="S398" s="479" t="n"/>
    </row>
    <row r="399">
      <c r="A399" s="479">
        <f>IF(C399="","",ROW()-4)</f>
        <v/>
      </c>
      <c r="B399" s="479" t="n"/>
      <c r="C399" s="479" t="n"/>
      <c r="D399" s="479" t="n"/>
      <c r="E399" s="479" t="n"/>
      <c r="F399" s="479" t="n"/>
      <c r="G399" s="479" t="n"/>
      <c r="H399" s="480" t="n"/>
      <c r="I399" s="554" t="n"/>
      <c r="J399" s="554" t="n"/>
      <c r="K399" s="555" t="n"/>
      <c r="L399" s="555" t="n"/>
      <c r="M399" s="479">
        <f>IF(K399="","",YEAR(K399))</f>
        <v/>
      </c>
      <c r="N399" s="479">
        <f>IF(K399="","",ROUNDUP(MONTH(K399)/3,0))</f>
        <v/>
      </c>
      <c r="O399" s="479">
        <f>IF(K399="","",IF(MONTH(K399)&lt;=6,1,2))</f>
        <v/>
      </c>
      <c r="P399" s="480">
        <f>IF(B399&lt;&gt;"Actif",0,H399*J399)</f>
        <v/>
      </c>
      <c r="Q399" s="480">
        <f>IF(B399&lt;&gt;"Actif",0,H399*I399)</f>
        <v/>
      </c>
      <c r="R399" s="480">
        <f>IF(B399&lt;&gt;"Actif",0,H399*I399*J399)</f>
        <v/>
      </c>
      <c r="S399" s="479" t="n"/>
    </row>
    <row r="400">
      <c r="A400" s="479">
        <f>IF(C400="","",ROW()-4)</f>
        <v/>
      </c>
      <c r="B400" s="479" t="n"/>
      <c r="C400" s="479" t="n"/>
      <c r="D400" s="479" t="n"/>
      <c r="E400" s="479" t="n"/>
      <c r="F400" s="479" t="n"/>
      <c r="G400" s="479" t="n"/>
      <c r="H400" s="480" t="n"/>
      <c r="I400" s="554" t="n"/>
      <c r="J400" s="554" t="n"/>
      <c r="K400" s="555" t="n"/>
      <c r="L400" s="555" t="n"/>
      <c r="M400" s="479">
        <f>IF(K400="","",YEAR(K400))</f>
        <v/>
      </c>
      <c r="N400" s="479">
        <f>IF(K400="","",ROUNDUP(MONTH(K400)/3,0))</f>
        <v/>
      </c>
      <c r="O400" s="479">
        <f>IF(K400="","",IF(MONTH(K400)&lt;=6,1,2))</f>
        <v/>
      </c>
      <c r="P400" s="480">
        <f>IF(B400&lt;&gt;"Actif",0,H400*J400)</f>
        <v/>
      </c>
      <c r="Q400" s="480">
        <f>IF(B400&lt;&gt;"Actif",0,H400*I400)</f>
        <v/>
      </c>
      <c r="R400" s="480">
        <f>IF(B400&lt;&gt;"Actif",0,H400*I400*J400)</f>
        <v/>
      </c>
      <c r="S400" s="479" t="n"/>
    </row>
    <row r="401">
      <c r="A401" s="479">
        <f>IF(C401="","",ROW()-4)</f>
        <v/>
      </c>
      <c r="B401" s="479" t="n"/>
      <c r="C401" s="479" t="n"/>
      <c r="D401" s="479" t="n"/>
      <c r="E401" s="479" t="n"/>
      <c r="F401" s="479" t="n"/>
      <c r="G401" s="479" t="n"/>
      <c r="H401" s="480" t="n"/>
      <c r="I401" s="554" t="n"/>
      <c r="J401" s="554" t="n"/>
      <c r="K401" s="555" t="n"/>
      <c r="L401" s="555" t="n"/>
      <c r="M401" s="479">
        <f>IF(K401="","",YEAR(K401))</f>
        <v/>
      </c>
      <c r="N401" s="479">
        <f>IF(K401="","",ROUNDUP(MONTH(K401)/3,0))</f>
        <v/>
      </c>
      <c r="O401" s="479">
        <f>IF(K401="","",IF(MONTH(K401)&lt;=6,1,2))</f>
        <v/>
      </c>
      <c r="P401" s="480">
        <f>IF(B401&lt;&gt;"Actif",0,H401*J401)</f>
        <v/>
      </c>
      <c r="Q401" s="480">
        <f>IF(B401&lt;&gt;"Actif",0,H401*I401)</f>
        <v/>
      </c>
      <c r="R401" s="480">
        <f>IF(B401&lt;&gt;"Actif",0,H401*I401*J401)</f>
        <v/>
      </c>
      <c r="S401" s="479" t="n"/>
    </row>
    <row r="402">
      <c r="A402" s="479">
        <f>IF(C402="","",ROW()-4)</f>
        <v/>
      </c>
      <c r="B402" s="479" t="n"/>
      <c r="C402" s="479" t="n"/>
      <c r="D402" s="479" t="n"/>
      <c r="E402" s="479" t="n"/>
      <c r="F402" s="479" t="n"/>
      <c r="G402" s="479" t="n"/>
      <c r="H402" s="480" t="n"/>
      <c r="I402" s="554" t="n"/>
      <c r="J402" s="554" t="n"/>
      <c r="K402" s="555" t="n"/>
      <c r="L402" s="555" t="n"/>
      <c r="M402" s="479">
        <f>IF(K402="","",YEAR(K402))</f>
        <v/>
      </c>
      <c r="N402" s="479">
        <f>IF(K402="","",ROUNDUP(MONTH(K402)/3,0))</f>
        <v/>
      </c>
      <c r="O402" s="479">
        <f>IF(K402="","",IF(MONTH(K402)&lt;=6,1,2))</f>
        <v/>
      </c>
      <c r="P402" s="480">
        <f>IF(B402&lt;&gt;"Actif",0,H402*J402)</f>
        <v/>
      </c>
      <c r="Q402" s="480">
        <f>IF(B402&lt;&gt;"Actif",0,H402*I402)</f>
        <v/>
      </c>
      <c r="R402" s="480">
        <f>IF(B402&lt;&gt;"Actif",0,H402*I402*J402)</f>
        <v/>
      </c>
      <c r="S402" s="479" t="n"/>
    </row>
    <row r="403">
      <c r="A403" s="479">
        <f>IF(C403="","",ROW()-4)</f>
        <v/>
      </c>
      <c r="B403" s="479" t="n"/>
      <c r="C403" s="479" t="n"/>
      <c r="D403" s="479" t="n"/>
      <c r="E403" s="479" t="n"/>
      <c r="F403" s="479" t="n"/>
      <c r="G403" s="479" t="n"/>
      <c r="H403" s="480" t="n"/>
      <c r="I403" s="554" t="n"/>
      <c r="J403" s="554" t="n"/>
      <c r="K403" s="555" t="n"/>
      <c r="L403" s="555" t="n"/>
      <c r="M403" s="479">
        <f>IF(K403="","",YEAR(K403))</f>
        <v/>
      </c>
      <c r="N403" s="479">
        <f>IF(K403="","",ROUNDUP(MONTH(K403)/3,0))</f>
        <v/>
      </c>
      <c r="O403" s="479">
        <f>IF(K403="","",IF(MONTH(K403)&lt;=6,1,2))</f>
        <v/>
      </c>
      <c r="P403" s="480">
        <f>IF(B403&lt;&gt;"Actif",0,H403*J403)</f>
        <v/>
      </c>
      <c r="Q403" s="480">
        <f>IF(B403&lt;&gt;"Actif",0,H403*I403)</f>
        <v/>
      </c>
      <c r="R403" s="480">
        <f>IF(B403&lt;&gt;"Actif",0,H403*I403*J403)</f>
        <v/>
      </c>
      <c r="S403" s="479" t="n"/>
    </row>
    <row r="404">
      <c r="A404" s="479">
        <f>IF(C404="","",ROW()-4)</f>
        <v/>
      </c>
      <c r="B404" s="479" t="n"/>
      <c r="C404" s="479" t="n"/>
      <c r="D404" s="479" t="n"/>
      <c r="E404" s="479" t="n"/>
      <c r="F404" s="479" t="n"/>
      <c r="G404" s="479" t="n"/>
      <c r="H404" s="480" t="n"/>
      <c r="I404" s="554" t="n"/>
      <c r="J404" s="554" t="n"/>
      <c r="K404" s="555" t="n"/>
      <c r="L404" s="555" t="n"/>
      <c r="M404" s="479">
        <f>IF(K404="","",YEAR(K404))</f>
        <v/>
      </c>
      <c r="N404" s="479">
        <f>IF(K404="","",ROUNDUP(MONTH(K404)/3,0))</f>
        <v/>
      </c>
      <c r="O404" s="479">
        <f>IF(K404="","",IF(MONTH(K404)&lt;=6,1,2))</f>
        <v/>
      </c>
      <c r="P404" s="480">
        <f>IF(B404&lt;&gt;"Actif",0,H404*J404)</f>
        <v/>
      </c>
      <c r="Q404" s="480">
        <f>IF(B404&lt;&gt;"Actif",0,H404*I404)</f>
        <v/>
      </c>
      <c r="R404" s="480">
        <f>IF(B404&lt;&gt;"Actif",0,H404*I404*J404)</f>
        <v/>
      </c>
      <c r="S404" s="479" t="n"/>
    </row>
    <row r="405">
      <c r="A405" s="479">
        <f>IF(C405="","",ROW()-4)</f>
        <v/>
      </c>
      <c r="B405" s="479" t="n"/>
      <c r="C405" s="479" t="n"/>
      <c r="D405" s="479" t="n"/>
      <c r="E405" s="479" t="n"/>
      <c r="F405" s="479" t="n"/>
      <c r="G405" s="479" t="n"/>
      <c r="H405" s="480" t="n"/>
      <c r="I405" s="554" t="n"/>
      <c r="J405" s="554" t="n"/>
      <c r="K405" s="555" t="n"/>
      <c r="L405" s="555" t="n"/>
      <c r="M405" s="479">
        <f>IF(K405="","",YEAR(K405))</f>
        <v/>
      </c>
      <c r="N405" s="479">
        <f>IF(K405="","",ROUNDUP(MONTH(K405)/3,0))</f>
        <v/>
      </c>
      <c r="O405" s="479">
        <f>IF(K405="","",IF(MONTH(K405)&lt;=6,1,2))</f>
        <v/>
      </c>
      <c r="P405" s="480">
        <f>IF(B405&lt;&gt;"Actif",0,H405*J405)</f>
        <v/>
      </c>
      <c r="Q405" s="480">
        <f>IF(B405&lt;&gt;"Actif",0,H405*I405)</f>
        <v/>
      </c>
      <c r="R405" s="480">
        <f>IF(B405&lt;&gt;"Actif",0,H405*I405*J405)</f>
        <v/>
      </c>
      <c r="S405" s="479" t="n"/>
    </row>
    <row r="406">
      <c r="A406" s="479">
        <f>IF(C406="","",ROW()-4)</f>
        <v/>
      </c>
      <c r="B406" s="479" t="n"/>
      <c r="C406" s="479" t="n"/>
      <c r="D406" s="479" t="n"/>
      <c r="E406" s="479" t="n"/>
      <c r="F406" s="479" t="n"/>
      <c r="G406" s="479" t="n"/>
      <c r="H406" s="480" t="n"/>
      <c r="I406" s="554" t="n"/>
      <c r="J406" s="554" t="n"/>
      <c r="K406" s="555" t="n"/>
      <c r="L406" s="555" t="n"/>
      <c r="M406" s="479">
        <f>IF(K406="","",YEAR(K406))</f>
        <v/>
      </c>
      <c r="N406" s="479">
        <f>IF(K406="","",ROUNDUP(MONTH(K406)/3,0))</f>
        <v/>
      </c>
      <c r="O406" s="479">
        <f>IF(K406="","",IF(MONTH(K406)&lt;=6,1,2))</f>
        <v/>
      </c>
      <c r="P406" s="480">
        <f>IF(B406&lt;&gt;"Actif",0,H406*J406)</f>
        <v/>
      </c>
      <c r="Q406" s="480">
        <f>IF(B406&lt;&gt;"Actif",0,H406*I406)</f>
        <v/>
      </c>
      <c r="R406" s="480">
        <f>IF(B406&lt;&gt;"Actif",0,H406*I406*J406)</f>
        <v/>
      </c>
      <c r="S406" s="479" t="n"/>
    </row>
    <row r="407">
      <c r="A407" s="479">
        <f>IF(C407="","",ROW()-4)</f>
        <v/>
      </c>
      <c r="B407" s="479" t="n"/>
      <c r="C407" s="479" t="n"/>
      <c r="D407" s="479" t="n"/>
      <c r="E407" s="479" t="n"/>
      <c r="F407" s="479" t="n"/>
      <c r="G407" s="479" t="n"/>
      <c r="H407" s="480" t="n"/>
      <c r="I407" s="554" t="n"/>
      <c r="J407" s="554" t="n"/>
      <c r="K407" s="555" t="n"/>
      <c r="L407" s="555" t="n"/>
      <c r="M407" s="479">
        <f>IF(K407="","",YEAR(K407))</f>
        <v/>
      </c>
      <c r="N407" s="479">
        <f>IF(K407="","",ROUNDUP(MONTH(K407)/3,0))</f>
        <v/>
      </c>
      <c r="O407" s="479">
        <f>IF(K407="","",IF(MONTH(K407)&lt;=6,1,2))</f>
        <v/>
      </c>
      <c r="P407" s="480">
        <f>IF(B407&lt;&gt;"Actif",0,H407*J407)</f>
        <v/>
      </c>
      <c r="Q407" s="480">
        <f>IF(B407&lt;&gt;"Actif",0,H407*I407)</f>
        <v/>
      </c>
      <c r="R407" s="480">
        <f>IF(B407&lt;&gt;"Actif",0,H407*I407*J407)</f>
        <v/>
      </c>
      <c r="S407" s="479" t="n"/>
    </row>
    <row r="408">
      <c r="A408" s="479">
        <f>IF(C408="","",ROW()-4)</f>
        <v/>
      </c>
      <c r="B408" s="479" t="n"/>
      <c r="C408" s="479" t="n"/>
      <c r="D408" s="479" t="n"/>
      <c r="E408" s="479" t="n"/>
      <c r="F408" s="479" t="n"/>
      <c r="G408" s="479" t="n"/>
      <c r="H408" s="480" t="n"/>
      <c r="I408" s="554" t="n"/>
      <c r="J408" s="554" t="n"/>
      <c r="K408" s="555" t="n"/>
      <c r="L408" s="555" t="n"/>
      <c r="M408" s="479">
        <f>IF(K408="","",YEAR(K408))</f>
        <v/>
      </c>
      <c r="N408" s="479">
        <f>IF(K408="","",ROUNDUP(MONTH(K408)/3,0))</f>
        <v/>
      </c>
      <c r="O408" s="479">
        <f>IF(K408="","",IF(MONTH(K408)&lt;=6,1,2))</f>
        <v/>
      </c>
      <c r="P408" s="480">
        <f>IF(B408&lt;&gt;"Actif",0,H408*J408)</f>
        <v/>
      </c>
      <c r="Q408" s="480">
        <f>IF(B408&lt;&gt;"Actif",0,H408*I408)</f>
        <v/>
      </c>
      <c r="R408" s="480">
        <f>IF(B408&lt;&gt;"Actif",0,H408*I408*J408)</f>
        <v/>
      </c>
      <c r="S408" s="479" t="n"/>
    </row>
    <row r="409">
      <c r="A409" s="479">
        <f>IF(C409="","",ROW()-4)</f>
        <v/>
      </c>
      <c r="B409" s="479" t="n"/>
      <c r="C409" s="479" t="n"/>
      <c r="D409" s="479" t="n"/>
      <c r="E409" s="479" t="n"/>
      <c r="F409" s="479" t="n"/>
      <c r="G409" s="479" t="n"/>
      <c r="H409" s="480" t="n"/>
      <c r="I409" s="554" t="n"/>
      <c r="J409" s="554" t="n"/>
      <c r="K409" s="555" t="n"/>
      <c r="L409" s="555" t="n"/>
      <c r="M409" s="479">
        <f>IF(K409="","",YEAR(K409))</f>
        <v/>
      </c>
      <c r="N409" s="479">
        <f>IF(K409="","",ROUNDUP(MONTH(K409)/3,0))</f>
        <v/>
      </c>
      <c r="O409" s="479">
        <f>IF(K409="","",IF(MONTH(K409)&lt;=6,1,2))</f>
        <v/>
      </c>
      <c r="P409" s="480">
        <f>IF(B409&lt;&gt;"Actif",0,H409*J409)</f>
        <v/>
      </c>
      <c r="Q409" s="480">
        <f>IF(B409&lt;&gt;"Actif",0,H409*I409)</f>
        <v/>
      </c>
      <c r="R409" s="480">
        <f>IF(B409&lt;&gt;"Actif",0,H409*I409*J409)</f>
        <v/>
      </c>
      <c r="S409" s="479" t="n"/>
    </row>
    <row r="410">
      <c r="A410" s="479">
        <f>IF(C410="","",ROW()-4)</f>
        <v/>
      </c>
      <c r="B410" s="479" t="n"/>
      <c r="C410" s="479" t="n"/>
      <c r="D410" s="479" t="n"/>
      <c r="E410" s="479" t="n"/>
      <c r="F410" s="479" t="n"/>
      <c r="G410" s="479" t="n"/>
      <c r="H410" s="480" t="n"/>
      <c r="I410" s="554" t="n"/>
      <c r="J410" s="554" t="n"/>
      <c r="K410" s="555" t="n"/>
      <c r="L410" s="555" t="n"/>
      <c r="M410" s="479">
        <f>IF(K410="","",YEAR(K410))</f>
        <v/>
      </c>
      <c r="N410" s="479">
        <f>IF(K410="","",ROUNDUP(MONTH(K410)/3,0))</f>
        <v/>
      </c>
      <c r="O410" s="479">
        <f>IF(K410="","",IF(MONTH(K410)&lt;=6,1,2))</f>
        <v/>
      </c>
      <c r="P410" s="480">
        <f>IF(B410&lt;&gt;"Actif",0,H410*J410)</f>
        <v/>
      </c>
      <c r="Q410" s="480">
        <f>IF(B410&lt;&gt;"Actif",0,H410*I410)</f>
        <v/>
      </c>
      <c r="R410" s="480">
        <f>IF(B410&lt;&gt;"Actif",0,H410*I410*J410)</f>
        <v/>
      </c>
      <c r="S410" s="479" t="n"/>
    </row>
    <row r="411">
      <c r="A411" s="479">
        <f>IF(C411="","",ROW()-4)</f>
        <v/>
      </c>
      <c r="B411" s="479" t="n"/>
      <c r="C411" s="479" t="n"/>
      <c r="D411" s="479" t="n"/>
      <c r="E411" s="479" t="n"/>
      <c r="F411" s="479" t="n"/>
      <c r="G411" s="479" t="n"/>
      <c r="H411" s="480" t="n"/>
      <c r="I411" s="554" t="n"/>
      <c r="J411" s="554" t="n"/>
      <c r="K411" s="555" t="n"/>
      <c r="L411" s="555" t="n"/>
      <c r="M411" s="479">
        <f>IF(K411="","",YEAR(K411))</f>
        <v/>
      </c>
      <c r="N411" s="479">
        <f>IF(K411="","",ROUNDUP(MONTH(K411)/3,0))</f>
        <v/>
      </c>
      <c r="O411" s="479">
        <f>IF(K411="","",IF(MONTH(K411)&lt;=6,1,2))</f>
        <v/>
      </c>
      <c r="P411" s="480">
        <f>IF(B411&lt;&gt;"Actif",0,H411*J411)</f>
        <v/>
      </c>
      <c r="Q411" s="480">
        <f>IF(B411&lt;&gt;"Actif",0,H411*I411)</f>
        <v/>
      </c>
      <c r="R411" s="480">
        <f>IF(B411&lt;&gt;"Actif",0,H411*I411*J411)</f>
        <v/>
      </c>
      <c r="S411" s="479" t="n"/>
    </row>
    <row r="412">
      <c r="A412" s="479">
        <f>IF(C412="","",ROW()-4)</f>
        <v/>
      </c>
      <c r="B412" s="479" t="n"/>
      <c r="C412" s="479" t="n"/>
      <c r="D412" s="479" t="n"/>
      <c r="E412" s="479" t="n"/>
      <c r="F412" s="479" t="n"/>
      <c r="G412" s="479" t="n"/>
      <c r="H412" s="480" t="n"/>
      <c r="I412" s="554" t="n"/>
      <c r="J412" s="554" t="n"/>
      <c r="K412" s="555" t="n"/>
      <c r="L412" s="555" t="n"/>
      <c r="M412" s="479">
        <f>IF(K412="","",YEAR(K412))</f>
        <v/>
      </c>
      <c r="N412" s="479">
        <f>IF(K412="","",ROUNDUP(MONTH(K412)/3,0))</f>
        <v/>
      </c>
      <c r="O412" s="479">
        <f>IF(K412="","",IF(MONTH(K412)&lt;=6,1,2))</f>
        <v/>
      </c>
      <c r="P412" s="480">
        <f>IF(B412&lt;&gt;"Actif",0,H412*J412)</f>
        <v/>
      </c>
      <c r="Q412" s="480">
        <f>IF(B412&lt;&gt;"Actif",0,H412*I412)</f>
        <v/>
      </c>
      <c r="R412" s="480">
        <f>IF(B412&lt;&gt;"Actif",0,H412*I412*J412)</f>
        <v/>
      </c>
      <c r="S412" s="479" t="n"/>
    </row>
    <row r="413">
      <c r="A413" s="479">
        <f>IF(C413="","",ROW()-4)</f>
        <v/>
      </c>
      <c r="B413" s="479" t="n"/>
      <c r="C413" s="479" t="n"/>
      <c r="D413" s="479" t="n"/>
      <c r="E413" s="479" t="n"/>
      <c r="F413" s="479" t="n"/>
      <c r="G413" s="479" t="n"/>
      <c r="H413" s="480" t="n"/>
      <c r="I413" s="554" t="n"/>
      <c r="J413" s="554" t="n"/>
      <c r="K413" s="555" t="n"/>
      <c r="L413" s="555" t="n"/>
      <c r="M413" s="479">
        <f>IF(K413="","",YEAR(K413))</f>
        <v/>
      </c>
      <c r="N413" s="479">
        <f>IF(K413="","",ROUNDUP(MONTH(K413)/3,0))</f>
        <v/>
      </c>
      <c r="O413" s="479">
        <f>IF(K413="","",IF(MONTH(K413)&lt;=6,1,2))</f>
        <v/>
      </c>
      <c r="P413" s="480">
        <f>IF(B413&lt;&gt;"Actif",0,H413*J413)</f>
        <v/>
      </c>
      <c r="Q413" s="480">
        <f>IF(B413&lt;&gt;"Actif",0,H413*I413)</f>
        <v/>
      </c>
      <c r="R413" s="480">
        <f>IF(B413&lt;&gt;"Actif",0,H413*I413*J413)</f>
        <v/>
      </c>
      <c r="S413" s="479" t="n"/>
    </row>
    <row r="414">
      <c r="A414" s="479">
        <f>IF(C414="","",ROW()-4)</f>
        <v/>
      </c>
      <c r="B414" s="479" t="n"/>
      <c r="C414" s="479" t="n"/>
      <c r="D414" s="479" t="n"/>
      <c r="E414" s="479" t="n"/>
      <c r="F414" s="479" t="n"/>
      <c r="G414" s="479" t="n"/>
      <c r="H414" s="480" t="n"/>
      <c r="I414" s="554" t="n"/>
      <c r="J414" s="554" t="n"/>
      <c r="K414" s="555" t="n"/>
      <c r="L414" s="555" t="n"/>
      <c r="M414" s="479">
        <f>IF(K414="","",YEAR(K414))</f>
        <v/>
      </c>
      <c r="N414" s="479">
        <f>IF(K414="","",ROUNDUP(MONTH(K414)/3,0))</f>
        <v/>
      </c>
      <c r="O414" s="479">
        <f>IF(K414="","",IF(MONTH(K414)&lt;=6,1,2))</f>
        <v/>
      </c>
      <c r="P414" s="480">
        <f>IF(B414&lt;&gt;"Actif",0,H414*J414)</f>
        <v/>
      </c>
      <c r="Q414" s="480">
        <f>IF(B414&lt;&gt;"Actif",0,H414*I414)</f>
        <v/>
      </c>
      <c r="R414" s="480">
        <f>IF(B414&lt;&gt;"Actif",0,H414*I414*J414)</f>
        <v/>
      </c>
      <c r="S414" s="479" t="n"/>
    </row>
    <row r="415">
      <c r="A415" s="479">
        <f>IF(C415="","",ROW()-4)</f>
        <v/>
      </c>
      <c r="B415" s="479" t="n"/>
      <c r="C415" s="479" t="n"/>
      <c r="D415" s="479" t="n"/>
      <c r="E415" s="479" t="n"/>
      <c r="F415" s="479" t="n"/>
      <c r="G415" s="479" t="n"/>
      <c r="H415" s="480" t="n"/>
      <c r="I415" s="554" t="n"/>
      <c r="J415" s="554" t="n"/>
      <c r="K415" s="555" t="n"/>
      <c r="L415" s="555" t="n"/>
      <c r="M415" s="479">
        <f>IF(K415="","",YEAR(K415))</f>
        <v/>
      </c>
      <c r="N415" s="479">
        <f>IF(K415="","",ROUNDUP(MONTH(K415)/3,0))</f>
        <v/>
      </c>
      <c r="O415" s="479">
        <f>IF(K415="","",IF(MONTH(K415)&lt;=6,1,2))</f>
        <v/>
      </c>
      <c r="P415" s="480">
        <f>IF(B415&lt;&gt;"Actif",0,H415*J415)</f>
        <v/>
      </c>
      <c r="Q415" s="480">
        <f>IF(B415&lt;&gt;"Actif",0,H415*I415)</f>
        <v/>
      </c>
      <c r="R415" s="480">
        <f>IF(B415&lt;&gt;"Actif",0,H415*I415*J415)</f>
        <v/>
      </c>
      <c r="S415" s="479" t="n"/>
    </row>
    <row r="416">
      <c r="A416" s="479">
        <f>IF(C416="","",ROW()-4)</f>
        <v/>
      </c>
      <c r="B416" s="479" t="n"/>
      <c r="C416" s="479" t="n"/>
      <c r="D416" s="479" t="n"/>
      <c r="E416" s="479" t="n"/>
      <c r="F416" s="479" t="n"/>
      <c r="G416" s="479" t="n"/>
      <c r="H416" s="480" t="n"/>
      <c r="I416" s="554" t="n"/>
      <c r="J416" s="554" t="n"/>
      <c r="K416" s="555" t="n"/>
      <c r="L416" s="555" t="n"/>
      <c r="M416" s="479">
        <f>IF(K416="","",YEAR(K416))</f>
        <v/>
      </c>
      <c r="N416" s="479">
        <f>IF(K416="","",ROUNDUP(MONTH(K416)/3,0))</f>
        <v/>
      </c>
      <c r="O416" s="479">
        <f>IF(K416="","",IF(MONTH(K416)&lt;=6,1,2))</f>
        <v/>
      </c>
      <c r="P416" s="480">
        <f>IF(B416&lt;&gt;"Actif",0,H416*J416)</f>
        <v/>
      </c>
      <c r="Q416" s="480">
        <f>IF(B416&lt;&gt;"Actif",0,H416*I416)</f>
        <v/>
      </c>
      <c r="R416" s="480">
        <f>IF(B416&lt;&gt;"Actif",0,H416*I416*J416)</f>
        <v/>
      </c>
      <c r="S416" s="479" t="n"/>
    </row>
    <row r="417">
      <c r="A417" s="479">
        <f>IF(C417="","",ROW()-4)</f>
        <v/>
      </c>
      <c r="B417" s="479" t="n"/>
      <c r="C417" s="479" t="n"/>
      <c r="D417" s="479" t="n"/>
      <c r="E417" s="479" t="n"/>
      <c r="F417" s="479" t="n"/>
      <c r="G417" s="479" t="n"/>
      <c r="H417" s="480" t="n"/>
      <c r="I417" s="554" t="n"/>
      <c r="J417" s="554" t="n"/>
      <c r="K417" s="555" t="n"/>
      <c r="L417" s="555" t="n"/>
      <c r="M417" s="479">
        <f>IF(K417="","",YEAR(K417))</f>
        <v/>
      </c>
      <c r="N417" s="479">
        <f>IF(K417="","",ROUNDUP(MONTH(K417)/3,0))</f>
        <v/>
      </c>
      <c r="O417" s="479">
        <f>IF(K417="","",IF(MONTH(K417)&lt;=6,1,2))</f>
        <v/>
      </c>
      <c r="P417" s="480">
        <f>IF(B417&lt;&gt;"Actif",0,H417*J417)</f>
        <v/>
      </c>
      <c r="Q417" s="480">
        <f>IF(B417&lt;&gt;"Actif",0,H417*I417)</f>
        <v/>
      </c>
      <c r="R417" s="480">
        <f>IF(B417&lt;&gt;"Actif",0,H417*I417*J417)</f>
        <v/>
      </c>
      <c r="S417" s="479" t="n"/>
    </row>
    <row r="418">
      <c r="A418" s="479">
        <f>IF(C418="","",ROW()-4)</f>
        <v/>
      </c>
      <c r="B418" s="479" t="n"/>
      <c r="C418" s="479" t="n"/>
      <c r="D418" s="479" t="n"/>
      <c r="E418" s="479" t="n"/>
      <c r="F418" s="479" t="n"/>
      <c r="G418" s="479" t="n"/>
      <c r="H418" s="480" t="n"/>
      <c r="I418" s="554" t="n"/>
      <c r="J418" s="554" t="n"/>
      <c r="K418" s="555" t="n"/>
      <c r="L418" s="555" t="n"/>
      <c r="M418" s="479">
        <f>IF(K418="","",YEAR(K418))</f>
        <v/>
      </c>
      <c r="N418" s="479">
        <f>IF(K418="","",ROUNDUP(MONTH(K418)/3,0))</f>
        <v/>
      </c>
      <c r="O418" s="479">
        <f>IF(K418="","",IF(MONTH(K418)&lt;=6,1,2))</f>
        <v/>
      </c>
      <c r="P418" s="480">
        <f>IF(B418&lt;&gt;"Actif",0,H418*J418)</f>
        <v/>
      </c>
      <c r="Q418" s="480">
        <f>IF(B418&lt;&gt;"Actif",0,H418*I418)</f>
        <v/>
      </c>
      <c r="R418" s="480">
        <f>IF(B418&lt;&gt;"Actif",0,H418*I418*J418)</f>
        <v/>
      </c>
      <c r="S418" s="479" t="n"/>
    </row>
    <row r="419">
      <c r="A419" s="479">
        <f>IF(C419="","",ROW()-4)</f>
        <v/>
      </c>
      <c r="B419" s="479" t="n"/>
      <c r="C419" s="479" t="n"/>
      <c r="D419" s="479" t="n"/>
      <c r="E419" s="479" t="n"/>
      <c r="F419" s="479" t="n"/>
      <c r="G419" s="479" t="n"/>
      <c r="H419" s="480" t="n"/>
      <c r="I419" s="554" t="n"/>
      <c r="J419" s="554" t="n"/>
      <c r="K419" s="555" t="n"/>
      <c r="L419" s="555" t="n"/>
      <c r="M419" s="479">
        <f>IF(K419="","",YEAR(K419))</f>
        <v/>
      </c>
      <c r="N419" s="479">
        <f>IF(K419="","",ROUNDUP(MONTH(K419)/3,0))</f>
        <v/>
      </c>
      <c r="O419" s="479">
        <f>IF(K419="","",IF(MONTH(K419)&lt;=6,1,2))</f>
        <v/>
      </c>
      <c r="P419" s="480">
        <f>IF(B419&lt;&gt;"Actif",0,H419*J419)</f>
        <v/>
      </c>
      <c r="Q419" s="480">
        <f>IF(B419&lt;&gt;"Actif",0,H419*I419)</f>
        <v/>
      </c>
      <c r="R419" s="480">
        <f>IF(B419&lt;&gt;"Actif",0,H419*I419*J419)</f>
        <v/>
      </c>
      <c r="S419" s="479" t="n"/>
    </row>
    <row r="420">
      <c r="A420" s="479">
        <f>IF(C420="","",ROW()-4)</f>
        <v/>
      </c>
      <c r="B420" s="479" t="n"/>
      <c r="C420" s="479" t="n"/>
      <c r="D420" s="479" t="n"/>
      <c r="E420" s="479" t="n"/>
      <c r="F420" s="479" t="n"/>
      <c r="G420" s="479" t="n"/>
      <c r="H420" s="480" t="n"/>
      <c r="I420" s="554" t="n"/>
      <c r="J420" s="554" t="n"/>
      <c r="K420" s="555" t="n"/>
      <c r="L420" s="555" t="n"/>
      <c r="M420" s="479">
        <f>IF(K420="","",YEAR(K420))</f>
        <v/>
      </c>
      <c r="N420" s="479">
        <f>IF(K420="","",ROUNDUP(MONTH(K420)/3,0))</f>
        <v/>
      </c>
      <c r="O420" s="479">
        <f>IF(K420="","",IF(MONTH(K420)&lt;=6,1,2))</f>
        <v/>
      </c>
      <c r="P420" s="480">
        <f>IF(B420&lt;&gt;"Actif",0,H420*J420)</f>
        <v/>
      </c>
      <c r="Q420" s="480">
        <f>IF(B420&lt;&gt;"Actif",0,H420*I420)</f>
        <v/>
      </c>
      <c r="R420" s="480">
        <f>IF(B420&lt;&gt;"Actif",0,H420*I420*J420)</f>
        <v/>
      </c>
      <c r="S420" s="479" t="n"/>
    </row>
    <row r="421">
      <c r="A421" s="479">
        <f>IF(C421="","",ROW()-4)</f>
        <v/>
      </c>
      <c r="B421" s="479" t="n"/>
      <c r="C421" s="479" t="n"/>
      <c r="D421" s="479" t="n"/>
      <c r="E421" s="479" t="n"/>
      <c r="F421" s="479" t="n"/>
      <c r="G421" s="479" t="n"/>
      <c r="H421" s="480" t="n"/>
      <c r="I421" s="554" t="n"/>
      <c r="J421" s="554" t="n"/>
      <c r="K421" s="555" t="n"/>
      <c r="L421" s="555" t="n"/>
      <c r="M421" s="479">
        <f>IF(K421="","",YEAR(K421))</f>
        <v/>
      </c>
      <c r="N421" s="479">
        <f>IF(K421="","",ROUNDUP(MONTH(K421)/3,0))</f>
        <v/>
      </c>
      <c r="O421" s="479">
        <f>IF(K421="","",IF(MONTH(K421)&lt;=6,1,2))</f>
        <v/>
      </c>
      <c r="P421" s="480">
        <f>IF(B421&lt;&gt;"Actif",0,H421*J421)</f>
        <v/>
      </c>
      <c r="Q421" s="480">
        <f>IF(B421&lt;&gt;"Actif",0,H421*I421)</f>
        <v/>
      </c>
      <c r="R421" s="480">
        <f>IF(B421&lt;&gt;"Actif",0,H421*I421*J421)</f>
        <v/>
      </c>
      <c r="S421" s="479" t="n"/>
    </row>
    <row r="422">
      <c r="A422" s="479">
        <f>IF(C422="","",ROW()-4)</f>
        <v/>
      </c>
      <c r="B422" s="479" t="n"/>
      <c r="C422" s="479" t="n"/>
      <c r="D422" s="479" t="n"/>
      <c r="E422" s="479" t="n"/>
      <c r="F422" s="479" t="n"/>
      <c r="G422" s="479" t="n"/>
      <c r="H422" s="480" t="n"/>
      <c r="I422" s="554" t="n"/>
      <c r="J422" s="554" t="n"/>
      <c r="K422" s="555" t="n"/>
      <c r="L422" s="555" t="n"/>
      <c r="M422" s="479">
        <f>IF(K422="","",YEAR(K422))</f>
        <v/>
      </c>
      <c r="N422" s="479">
        <f>IF(K422="","",ROUNDUP(MONTH(K422)/3,0))</f>
        <v/>
      </c>
      <c r="O422" s="479">
        <f>IF(K422="","",IF(MONTH(K422)&lt;=6,1,2))</f>
        <v/>
      </c>
      <c r="P422" s="480">
        <f>IF(B422&lt;&gt;"Actif",0,H422*J422)</f>
        <v/>
      </c>
      <c r="Q422" s="480">
        <f>IF(B422&lt;&gt;"Actif",0,H422*I422)</f>
        <v/>
      </c>
      <c r="R422" s="480">
        <f>IF(B422&lt;&gt;"Actif",0,H422*I422*J422)</f>
        <v/>
      </c>
      <c r="S422" s="479" t="n"/>
    </row>
    <row r="423">
      <c r="A423" s="479">
        <f>IF(C423="","",ROW()-4)</f>
        <v/>
      </c>
      <c r="B423" s="479" t="n"/>
      <c r="C423" s="479" t="n"/>
      <c r="D423" s="479" t="n"/>
      <c r="E423" s="479" t="n"/>
      <c r="F423" s="479" t="n"/>
      <c r="G423" s="479" t="n"/>
      <c r="H423" s="480" t="n"/>
      <c r="I423" s="554" t="n"/>
      <c r="J423" s="554" t="n"/>
      <c r="K423" s="555" t="n"/>
      <c r="L423" s="555" t="n"/>
      <c r="M423" s="479">
        <f>IF(K423="","",YEAR(K423))</f>
        <v/>
      </c>
      <c r="N423" s="479">
        <f>IF(K423="","",ROUNDUP(MONTH(K423)/3,0))</f>
        <v/>
      </c>
      <c r="O423" s="479">
        <f>IF(K423="","",IF(MONTH(K423)&lt;=6,1,2))</f>
        <v/>
      </c>
      <c r="P423" s="480">
        <f>IF(B423&lt;&gt;"Actif",0,H423*J423)</f>
        <v/>
      </c>
      <c r="Q423" s="480">
        <f>IF(B423&lt;&gt;"Actif",0,H423*I423)</f>
        <v/>
      </c>
      <c r="R423" s="480">
        <f>IF(B423&lt;&gt;"Actif",0,H423*I423*J423)</f>
        <v/>
      </c>
      <c r="S423" s="479" t="n"/>
    </row>
    <row r="424">
      <c r="A424" s="479">
        <f>IF(C424="","",ROW()-4)</f>
        <v/>
      </c>
      <c r="B424" s="479" t="n"/>
      <c r="C424" s="479" t="n"/>
      <c r="D424" s="479" t="n"/>
      <c r="E424" s="479" t="n"/>
      <c r="F424" s="479" t="n"/>
      <c r="G424" s="479" t="n"/>
      <c r="H424" s="480" t="n"/>
      <c r="I424" s="554" t="n"/>
      <c r="J424" s="554" t="n"/>
      <c r="K424" s="555" t="n"/>
      <c r="L424" s="555" t="n"/>
      <c r="M424" s="479">
        <f>IF(K424="","",YEAR(K424))</f>
        <v/>
      </c>
      <c r="N424" s="479">
        <f>IF(K424="","",ROUNDUP(MONTH(K424)/3,0))</f>
        <v/>
      </c>
      <c r="O424" s="479">
        <f>IF(K424="","",IF(MONTH(K424)&lt;=6,1,2))</f>
        <v/>
      </c>
      <c r="P424" s="480">
        <f>IF(B424&lt;&gt;"Actif",0,H424*J424)</f>
        <v/>
      </c>
      <c r="Q424" s="480">
        <f>IF(B424&lt;&gt;"Actif",0,H424*I424)</f>
        <v/>
      </c>
      <c r="R424" s="480">
        <f>IF(B424&lt;&gt;"Actif",0,H424*I424*J424)</f>
        <v/>
      </c>
      <c r="S424" s="479" t="n"/>
    </row>
    <row r="425">
      <c r="A425" s="479">
        <f>IF(C425="","",ROW()-4)</f>
        <v/>
      </c>
      <c r="B425" s="479" t="n"/>
      <c r="C425" s="479" t="n"/>
      <c r="D425" s="479" t="n"/>
      <c r="E425" s="479" t="n"/>
      <c r="F425" s="479" t="n"/>
      <c r="G425" s="479" t="n"/>
      <c r="H425" s="480" t="n"/>
      <c r="I425" s="554" t="n"/>
      <c r="J425" s="554" t="n"/>
      <c r="K425" s="555" t="n"/>
      <c r="L425" s="555" t="n"/>
      <c r="M425" s="479">
        <f>IF(K425="","",YEAR(K425))</f>
        <v/>
      </c>
      <c r="N425" s="479">
        <f>IF(K425="","",ROUNDUP(MONTH(K425)/3,0))</f>
        <v/>
      </c>
      <c r="O425" s="479">
        <f>IF(K425="","",IF(MONTH(K425)&lt;=6,1,2))</f>
        <v/>
      </c>
      <c r="P425" s="480">
        <f>IF(B425&lt;&gt;"Actif",0,H425*J425)</f>
        <v/>
      </c>
      <c r="Q425" s="480">
        <f>IF(B425&lt;&gt;"Actif",0,H425*I425)</f>
        <v/>
      </c>
      <c r="R425" s="480">
        <f>IF(B425&lt;&gt;"Actif",0,H425*I425*J425)</f>
        <v/>
      </c>
      <c r="S425" s="479" t="n"/>
    </row>
    <row r="426">
      <c r="A426" s="479">
        <f>IF(C426="","",ROW()-4)</f>
        <v/>
      </c>
      <c r="B426" s="479" t="n"/>
      <c r="C426" s="479" t="n"/>
      <c r="D426" s="479" t="n"/>
      <c r="E426" s="479" t="n"/>
      <c r="F426" s="479" t="n"/>
      <c r="G426" s="479" t="n"/>
      <c r="H426" s="480" t="n"/>
      <c r="I426" s="554" t="n"/>
      <c r="J426" s="554" t="n"/>
      <c r="K426" s="555" t="n"/>
      <c r="L426" s="555" t="n"/>
      <c r="M426" s="479">
        <f>IF(K426="","",YEAR(K426))</f>
        <v/>
      </c>
      <c r="N426" s="479">
        <f>IF(K426="","",ROUNDUP(MONTH(K426)/3,0))</f>
        <v/>
      </c>
      <c r="O426" s="479">
        <f>IF(K426="","",IF(MONTH(K426)&lt;=6,1,2))</f>
        <v/>
      </c>
      <c r="P426" s="480">
        <f>IF(B426&lt;&gt;"Actif",0,H426*J426)</f>
        <v/>
      </c>
      <c r="Q426" s="480">
        <f>IF(B426&lt;&gt;"Actif",0,H426*I426)</f>
        <v/>
      </c>
      <c r="R426" s="480">
        <f>IF(B426&lt;&gt;"Actif",0,H426*I426*J426)</f>
        <v/>
      </c>
      <c r="S426" s="479" t="n"/>
    </row>
    <row r="427">
      <c r="A427" s="479">
        <f>IF(C427="","",ROW()-4)</f>
        <v/>
      </c>
      <c r="B427" s="479" t="n"/>
      <c r="C427" s="479" t="n"/>
      <c r="D427" s="479" t="n"/>
      <c r="E427" s="479" t="n"/>
      <c r="F427" s="479" t="n"/>
      <c r="G427" s="479" t="n"/>
      <c r="H427" s="480" t="n"/>
      <c r="I427" s="554" t="n"/>
      <c r="J427" s="554" t="n"/>
      <c r="K427" s="555" t="n"/>
      <c r="L427" s="555" t="n"/>
      <c r="M427" s="479">
        <f>IF(K427="","",YEAR(K427))</f>
        <v/>
      </c>
      <c r="N427" s="479">
        <f>IF(K427="","",ROUNDUP(MONTH(K427)/3,0))</f>
        <v/>
      </c>
      <c r="O427" s="479">
        <f>IF(K427="","",IF(MONTH(K427)&lt;=6,1,2))</f>
        <v/>
      </c>
      <c r="P427" s="480">
        <f>IF(B427&lt;&gt;"Actif",0,H427*J427)</f>
        <v/>
      </c>
      <c r="Q427" s="480">
        <f>IF(B427&lt;&gt;"Actif",0,H427*I427)</f>
        <v/>
      </c>
      <c r="R427" s="480">
        <f>IF(B427&lt;&gt;"Actif",0,H427*I427*J427)</f>
        <v/>
      </c>
      <c r="S427" s="479" t="n"/>
    </row>
    <row r="428">
      <c r="A428" s="479">
        <f>IF(C428="","",ROW()-4)</f>
        <v/>
      </c>
      <c r="B428" s="479" t="n"/>
      <c r="C428" s="479" t="n"/>
      <c r="D428" s="479" t="n"/>
      <c r="E428" s="479" t="n"/>
      <c r="F428" s="479" t="n"/>
      <c r="G428" s="479" t="n"/>
      <c r="H428" s="480" t="n"/>
      <c r="I428" s="554" t="n"/>
      <c r="J428" s="554" t="n"/>
      <c r="K428" s="555" t="n"/>
      <c r="L428" s="555" t="n"/>
      <c r="M428" s="479">
        <f>IF(K428="","",YEAR(K428))</f>
        <v/>
      </c>
      <c r="N428" s="479">
        <f>IF(K428="","",ROUNDUP(MONTH(K428)/3,0))</f>
        <v/>
      </c>
      <c r="O428" s="479">
        <f>IF(K428="","",IF(MONTH(K428)&lt;=6,1,2))</f>
        <v/>
      </c>
      <c r="P428" s="480">
        <f>IF(B428&lt;&gt;"Actif",0,H428*J428)</f>
        <v/>
      </c>
      <c r="Q428" s="480">
        <f>IF(B428&lt;&gt;"Actif",0,H428*I428)</f>
        <v/>
      </c>
      <c r="R428" s="480">
        <f>IF(B428&lt;&gt;"Actif",0,H428*I428*J428)</f>
        <v/>
      </c>
      <c r="S428" s="479" t="n"/>
    </row>
    <row r="429">
      <c r="A429" s="479">
        <f>IF(C429="","",ROW()-4)</f>
        <v/>
      </c>
      <c r="B429" s="479" t="n"/>
      <c r="C429" s="479" t="n"/>
      <c r="D429" s="479" t="n"/>
      <c r="E429" s="479" t="n"/>
      <c r="F429" s="479" t="n"/>
      <c r="G429" s="479" t="n"/>
      <c r="H429" s="480" t="n"/>
      <c r="I429" s="554" t="n"/>
      <c r="J429" s="554" t="n"/>
      <c r="K429" s="555" t="n"/>
      <c r="L429" s="555" t="n"/>
      <c r="M429" s="479">
        <f>IF(K429="","",YEAR(K429))</f>
        <v/>
      </c>
      <c r="N429" s="479">
        <f>IF(K429="","",ROUNDUP(MONTH(K429)/3,0))</f>
        <v/>
      </c>
      <c r="O429" s="479">
        <f>IF(K429="","",IF(MONTH(K429)&lt;=6,1,2))</f>
        <v/>
      </c>
      <c r="P429" s="480">
        <f>IF(B429&lt;&gt;"Actif",0,H429*J429)</f>
        <v/>
      </c>
      <c r="Q429" s="480">
        <f>IF(B429&lt;&gt;"Actif",0,H429*I429)</f>
        <v/>
      </c>
      <c r="R429" s="480">
        <f>IF(B429&lt;&gt;"Actif",0,H429*I429*J429)</f>
        <v/>
      </c>
      <c r="S429" s="479" t="n"/>
    </row>
    <row r="430">
      <c r="A430" s="479">
        <f>IF(C430="","",ROW()-4)</f>
        <v/>
      </c>
      <c r="B430" s="479" t="n"/>
      <c r="C430" s="479" t="n"/>
      <c r="D430" s="479" t="n"/>
      <c r="E430" s="479" t="n"/>
      <c r="F430" s="479" t="n"/>
      <c r="G430" s="479" t="n"/>
      <c r="H430" s="480" t="n"/>
      <c r="I430" s="554" t="n"/>
      <c r="J430" s="554" t="n"/>
      <c r="K430" s="555" t="n"/>
      <c r="L430" s="555" t="n"/>
      <c r="M430" s="479">
        <f>IF(K430="","",YEAR(K430))</f>
        <v/>
      </c>
      <c r="N430" s="479">
        <f>IF(K430="","",ROUNDUP(MONTH(K430)/3,0))</f>
        <v/>
      </c>
      <c r="O430" s="479">
        <f>IF(K430="","",IF(MONTH(K430)&lt;=6,1,2))</f>
        <v/>
      </c>
      <c r="P430" s="480">
        <f>IF(B430&lt;&gt;"Actif",0,H430*J430)</f>
        <v/>
      </c>
      <c r="Q430" s="480">
        <f>IF(B430&lt;&gt;"Actif",0,H430*I430)</f>
        <v/>
      </c>
      <c r="R430" s="480">
        <f>IF(B430&lt;&gt;"Actif",0,H430*I430*J430)</f>
        <v/>
      </c>
      <c r="S430" s="479" t="n"/>
    </row>
    <row r="431">
      <c r="A431" s="479">
        <f>IF(C431="","",ROW()-4)</f>
        <v/>
      </c>
      <c r="B431" s="479" t="n"/>
      <c r="C431" s="479" t="n"/>
      <c r="D431" s="479" t="n"/>
      <c r="E431" s="479" t="n"/>
      <c r="F431" s="479" t="n"/>
      <c r="G431" s="479" t="n"/>
      <c r="H431" s="480" t="n"/>
      <c r="I431" s="554" t="n"/>
      <c r="J431" s="554" t="n"/>
      <c r="K431" s="555" t="n"/>
      <c r="L431" s="555" t="n"/>
      <c r="M431" s="479">
        <f>IF(K431="","",YEAR(K431))</f>
        <v/>
      </c>
      <c r="N431" s="479">
        <f>IF(K431="","",ROUNDUP(MONTH(K431)/3,0))</f>
        <v/>
      </c>
      <c r="O431" s="479">
        <f>IF(K431="","",IF(MONTH(K431)&lt;=6,1,2))</f>
        <v/>
      </c>
      <c r="P431" s="480">
        <f>IF(B431&lt;&gt;"Actif",0,H431*J431)</f>
        <v/>
      </c>
      <c r="Q431" s="480">
        <f>IF(B431&lt;&gt;"Actif",0,H431*I431)</f>
        <v/>
      </c>
      <c r="R431" s="480">
        <f>IF(B431&lt;&gt;"Actif",0,H431*I431*J431)</f>
        <v/>
      </c>
      <c r="S431" s="479" t="n"/>
    </row>
    <row r="432">
      <c r="A432" s="479">
        <f>IF(C432="","",ROW()-4)</f>
        <v/>
      </c>
      <c r="B432" s="479" t="n"/>
      <c r="C432" s="479" t="n"/>
      <c r="D432" s="479" t="n"/>
      <c r="E432" s="479" t="n"/>
      <c r="F432" s="479" t="n"/>
      <c r="G432" s="479" t="n"/>
      <c r="H432" s="480" t="n"/>
      <c r="I432" s="554" t="n"/>
      <c r="J432" s="554" t="n"/>
      <c r="K432" s="555" t="n"/>
      <c r="L432" s="555" t="n"/>
      <c r="M432" s="479">
        <f>IF(K432="","",YEAR(K432))</f>
        <v/>
      </c>
      <c r="N432" s="479">
        <f>IF(K432="","",ROUNDUP(MONTH(K432)/3,0))</f>
        <v/>
      </c>
      <c r="O432" s="479">
        <f>IF(K432="","",IF(MONTH(K432)&lt;=6,1,2))</f>
        <v/>
      </c>
      <c r="P432" s="480">
        <f>IF(B432&lt;&gt;"Actif",0,H432*J432)</f>
        <v/>
      </c>
      <c r="Q432" s="480">
        <f>IF(B432&lt;&gt;"Actif",0,H432*I432)</f>
        <v/>
      </c>
      <c r="R432" s="480">
        <f>IF(B432&lt;&gt;"Actif",0,H432*I432*J432)</f>
        <v/>
      </c>
      <c r="S432" s="479" t="n"/>
    </row>
    <row r="433">
      <c r="A433" s="479">
        <f>IF(C433="","",ROW()-4)</f>
        <v/>
      </c>
      <c r="B433" s="479" t="n"/>
      <c r="C433" s="479" t="n"/>
      <c r="D433" s="479" t="n"/>
      <c r="E433" s="479" t="n"/>
      <c r="F433" s="479" t="n"/>
      <c r="G433" s="479" t="n"/>
      <c r="H433" s="480" t="n"/>
      <c r="I433" s="554" t="n"/>
      <c r="J433" s="554" t="n"/>
      <c r="K433" s="555" t="n"/>
      <c r="L433" s="555" t="n"/>
      <c r="M433" s="479">
        <f>IF(K433="","",YEAR(K433))</f>
        <v/>
      </c>
      <c r="N433" s="479">
        <f>IF(K433="","",ROUNDUP(MONTH(K433)/3,0))</f>
        <v/>
      </c>
      <c r="O433" s="479">
        <f>IF(K433="","",IF(MONTH(K433)&lt;=6,1,2))</f>
        <v/>
      </c>
      <c r="P433" s="480">
        <f>IF(B433&lt;&gt;"Actif",0,H433*J433)</f>
        <v/>
      </c>
      <c r="Q433" s="480">
        <f>IF(B433&lt;&gt;"Actif",0,H433*I433)</f>
        <v/>
      </c>
      <c r="R433" s="480">
        <f>IF(B433&lt;&gt;"Actif",0,H433*I433*J433)</f>
        <v/>
      </c>
      <c r="S433" s="479" t="n"/>
    </row>
    <row r="434">
      <c r="A434" s="479">
        <f>IF(C434="","",ROW()-4)</f>
        <v/>
      </c>
      <c r="B434" s="479" t="n"/>
      <c r="C434" s="479" t="n"/>
      <c r="D434" s="479" t="n"/>
      <c r="E434" s="479" t="n"/>
      <c r="F434" s="479" t="n"/>
      <c r="G434" s="479" t="n"/>
      <c r="H434" s="480" t="n"/>
      <c r="I434" s="554" t="n"/>
      <c r="J434" s="554" t="n"/>
      <c r="K434" s="555" t="n"/>
      <c r="L434" s="555" t="n"/>
      <c r="M434" s="479">
        <f>IF(K434="","",YEAR(K434))</f>
        <v/>
      </c>
      <c r="N434" s="479">
        <f>IF(K434="","",ROUNDUP(MONTH(K434)/3,0))</f>
        <v/>
      </c>
      <c r="O434" s="479">
        <f>IF(K434="","",IF(MONTH(K434)&lt;=6,1,2))</f>
        <v/>
      </c>
      <c r="P434" s="480">
        <f>IF(B434&lt;&gt;"Actif",0,H434*J434)</f>
        <v/>
      </c>
      <c r="Q434" s="480">
        <f>IF(B434&lt;&gt;"Actif",0,H434*I434)</f>
        <v/>
      </c>
      <c r="R434" s="480">
        <f>IF(B434&lt;&gt;"Actif",0,H434*I434*J434)</f>
        <v/>
      </c>
      <c r="S434" s="479" t="n"/>
    </row>
    <row r="435">
      <c r="A435" s="479">
        <f>IF(C435="","",ROW()-4)</f>
        <v/>
      </c>
      <c r="B435" s="479" t="n"/>
      <c r="C435" s="479" t="n"/>
      <c r="D435" s="479" t="n"/>
      <c r="E435" s="479" t="n"/>
      <c r="F435" s="479" t="n"/>
      <c r="G435" s="479" t="n"/>
      <c r="H435" s="480" t="n"/>
      <c r="I435" s="554" t="n"/>
      <c r="J435" s="554" t="n"/>
      <c r="K435" s="555" t="n"/>
      <c r="L435" s="555" t="n"/>
      <c r="M435" s="479">
        <f>IF(K435="","",YEAR(K435))</f>
        <v/>
      </c>
      <c r="N435" s="479">
        <f>IF(K435="","",ROUNDUP(MONTH(K435)/3,0))</f>
        <v/>
      </c>
      <c r="O435" s="479">
        <f>IF(K435="","",IF(MONTH(K435)&lt;=6,1,2))</f>
        <v/>
      </c>
      <c r="P435" s="480">
        <f>IF(B435&lt;&gt;"Actif",0,H435*J435)</f>
        <v/>
      </c>
      <c r="Q435" s="480">
        <f>IF(B435&lt;&gt;"Actif",0,H435*I435)</f>
        <v/>
      </c>
      <c r="R435" s="480">
        <f>IF(B435&lt;&gt;"Actif",0,H435*I435*J435)</f>
        <v/>
      </c>
      <c r="S435" s="479" t="n"/>
    </row>
    <row r="436">
      <c r="A436" s="479">
        <f>IF(C436="","",ROW()-4)</f>
        <v/>
      </c>
      <c r="B436" s="479" t="n"/>
      <c r="C436" s="479" t="n"/>
      <c r="D436" s="479" t="n"/>
      <c r="E436" s="479" t="n"/>
      <c r="F436" s="479" t="n"/>
      <c r="G436" s="479" t="n"/>
      <c r="H436" s="480" t="n"/>
      <c r="I436" s="554" t="n"/>
      <c r="J436" s="554" t="n"/>
      <c r="K436" s="555" t="n"/>
      <c r="L436" s="555" t="n"/>
      <c r="M436" s="479">
        <f>IF(K436="","",YEAR(K436))</f>
        <v/>
      </c>
      <c r="N436" s="479">
        <f>IF(K436="","",ROUNDUP(MONTH(K436)/3,0))</f>
        <v/>
      </c>
      <c r="O436" s="479">
        <f>IF(K436="","",IF(MONTH(K436)&lt;=6,1,2))</f>
        <v/>
      </c>
      <c r="P436" s="480">
        <f>IF(B436&lt;&gt;"Actif",0,H436*J436)</f>
        <v/>
      </c>
      <c r="Q436" s="480">
        <f>IF(B436&lt;&gt;"Actif",0,H436*I436)</f>
        <v/>
      </c>
      <c r="R436" s="480">
        <f>IF(B436&lt;&gt;"Actif",0,H436*I436*J436)</f>
        <v/>
      </c>
      <c r="S436" s="479" t="n"/>
    </row>
    <row r="437">
      <c r="A437" s="479">
        <f>IF(C437="","",ROW()-4)</f>
        <v/>
      </c>
      <c r="B437" s="479" t="n"/>
      <c r="C437" s="479" t="n"/>
      <c r="D437" s="479" t="n"/>
      <c r="E437" s="479" t="n"/>
      <c r="F437" s="479" t="n"/>
      <c r="G437" s="479" t="n"/>
      <c r="H437" s="480" t="n"/>
      <c r="I437" s="554" t="n"/>
      <c r="J437" s="554" t="n"/>
      <c r="K437" s="555" t="n"/>
      <c r="L437" s="555" t="n"/>
      <c r="M437" s="479">
        <f>IF(K437="","",YEAR(K437))</f>
        <v/>
      </c>
      <c r="N437" s="479">
        <f>IF(K437="","",ROUNDUP(MONTH(K437)/3,0))</f>
        <v/>
      </c>
      <c r="O437" s="479">
        <f>IF(K437="","",IF(MONTH(K437)&lt;=6,1,2))</f>
        <v/>
      </c>
      <c r="P437" s="480">
        <f>IF(B437&lt;&gt;"Actif",0,H437*J437)</f>
        <v/>
      </c>
      <c r="Q437" s="480">
        <f>IF(B437&lt;&gt;"Actif",0,H437*I437)</f>
        <v/>
      </c>
      <c r="R437" s="480">
        <f>IF(B437&lt;&gt;"Actif",0,H437*I437*J437)</f>
        <v/>
      </c>
      <c r="S437" s="479" t="n"/>
    </row>
    <row r="438">
      <c r="A438" s="479">
        <f>IF(C438="","",ROW()-4)</f>
        <v/>
      </c>
      <c r="B438" s="479" t="n"/>
      <c r="C438" s="479" t="n"/>
      <c r="D438" s="479" t="n"/>
      <c r="E438" s="479" t="n"/>
      <c r="F438" s="479" t="n"/>
      <c r="G438" s="479" t="n"/>
      <c r="H438" s="480" t="n"/>
      <c r="I438" s="554" t="n"/>
      <c r="J438" s="554" t="n"/>
      <c r="K438" s="555" t="n"/>
      <c r="L438" s="555" t="n"/>
      <c r="M438" s="479">
        <f>IF(K438="","",YEAR(K438))</f>
        <v/>
      </c>
      <c r="N438" s="479">
        <f>IF(K438="","",ROUNDUP(MONTH(K438)/3,0))</f>
        <v/>
      </c>
      <c r="O438" s="479">
        <f>IF(K438="","",IF(MONTH(K438)&lt;=6,1,2))</f>
        <v/>
      </c>
      <c r="P438" s="480">
        <f>IF(B438&lt;&gt;"Actif",0,H438*J438)</f>
        <v/>
      </c>
      <c r="Q438" s="480">
        <f>IF(B438&lt;&gt;"Actif",0,H438*I438)</f>
        <v/>
      </c>
      <c r="R438" s="480">
        <f>IF(B438&lt;&gt;"Actif",0,H438*I438*J438)</f>
        <v/>
      </c>
      <c r="S438" s="479" t="n"/>
    </row>
    <row r="439">
      <c r="A439" s="479">
        <f>IF(C439="","",ROW()-4)</f>
        <v/>
      </c>
      <c r="B439" s="479" t="n"/>
      <c r="C439" s="479" t="n"/>
      <c r="D439" s="479" t="n"/>
      <c r="E439" s="479" t="n"/>
      <c r="F439" s="479" t="n"/>
      <c r="G439" s="479" t="n"/>
      <c r="H439" s="480" t="n"/>
      <c r="I439" s="554" t="n"/>
      <c r="J439" s="554" t="n"/>
      <c r="K439" s="555" t="n"/>
      <c r="L439" s="555" t="n"/>
      <c r="M439" s="479">
        <f>IF(K439="","",YEAR(K439))</f>
        <v/>
      </c>
      <c r="N439" s="479">
        <f>IF(K439="","",ROUNDUP(MONTH(K439)/3,0))</f>
        <v/>
      </c>
      <c r="O439" s="479">
        <f>IF(K439="","",IF(MONTH(K439)&lt;=6,1,2))</f>
        <v/>
      </c>
      <c r="P439" s="480">
        <f>IF(B439&lt;&gt;"Actif",0,H439*J439)</f>
        <v/>
      </c>
      <c r="Q439" s="480">
        <f>IF(B439&lt;&gt;"Actif",0,H439*I439)</f>
        <v/>
      </c>
      <c r="R439" s="480">
        <f>IF(B439&lt;&gt;"Actif",0,H439*I439*J439)</f>
        <v/>
      </c>
      <c r="S439" s="479" t="n"/>
    </row>
    <row r="440">
      <c r="A440" s="479">
        <f>IF(C440="","",ROW()-4)</f>
        <v/>
      </c>
      <c r="B440" s="479" t="n"/>
      <c r="C440" s="479" t="n"/>
      <c r="D440" s="479" t="n"/>
      <c r="E440" s="479" t="n"/>
      <c r="F440" s="479" t="n"/>
      <c r="G440" s="479" t="n"/>
      <c r="H440" s="480" t="n"/>
      <c r="I440" s="554" t="n"/>
      <c r="J440" s="554" t="n"/>
      <c r="K440" s="555" t="n"/>
      <c r="L440" s="555" t="n"/>
      <c r="M440" s="479">
        <f>IF(K440="","",YEAR(K440))</f>
        <v/>
      </c>
      <c r="N440" s="479">
        <f>IF(K440="","",ROUNDUP(MONTH(K440)/3,0))</f>
        <v/>
      </c>
      <c r="O440" s="479">
        <f>IF(K440="","",IF(MONTH(K440)&lt;=6,1,2))</f>
        <v/>
      </c>
      <c r="P440" s="480">
        <f>IF(B440&lt;&gt;"Actif",0,H440*J440)</f>
        <v/>
      </c>
      <c r="Q440" s="480">
        <f>IF(B440&lt;&gt;"Actif",0,H440*I440)</f>
        <v/>
      </c>
      <c r="R440" s="480">
        <f>IF(B440&lt;&gt;"Actif",0,H440*I440*J440)</f>
        <v/>
      </c>
      <c r="S440" s="479" t="n"/>
    </row>
    <row r="441">
      <c r="A441" s="479">
        <f>IF(C441="","",ROW()-4)</f>
        <v/>
      </c>
      <c r="B441" s="479" t="n"/>
      <c r="C441" s="479" t="n"/>
      <c r="D441" s="479" t="n"/>
      <c r="E441" s="479" t="n"/>
      <c r="F441" s="479" t="n"/>
      <c r="G441" s="479" t="n"/>
      <c r="H441" s="480" t="n"/>
      <c r="I441" s="554" t="n"/>
      <c r="J441" s="554" t="n"/>
      <c r="K441" s="555" t="n"/>
      <c r="L441" s="555" t="n"/>
      <c r="M441" s="479">
        <f>IF(K441="","",YEAR(K441))</f>
        <v/>
      </c>
      <c r="N441" s="479">
        <f>IF(K441="","",ROUNDUP(MONTH(K441)/3,0))</f>
        <v/>
      </c>
      <c r="O441" s="479">
        <f>IF(K441="","",IF(MONTH(K441)&lt;=6,1,2))</f>
        <v/>
      </c>
      <c r="P441" s="480">
        <f>IF(B441&lt;&gt;"Actif",0,H441*J441)</f>
        <v/>
      </c>
      <c r="Q441" s="480">
        <f>IF(B441&lt;&gt;"Actif",0,H441*I441)</f>
        <v/>
      </c>
      <c r="R441" s="480">
        <f>IF(B441&lt;&gt;"Actif",0,H441*I441*J441)</f>
        <v/>
      </c>
      <c r="S441" s="479" t="n"/>
    </row>
    <row r="442">
      <c r="A442" s="479">
        <f>IF(C442="","",ROW()-4)</f>
        <v/>
      </c>
      <c r="B442" s="479" t="n"/>
      <c r="C442" s="479" t="n"/>
      <c r="D442" s="479" t="n"/>
      <c r="E442" s="479" t="n"/>
      <c r="F442" s="479" t="n"/>
      <c r="G442" s="479" t="n"/>
      <c r="H442" s="480" t="n"/>
      <c r="I442" s="554" t="n"/>
      <c r="J442" s="554" t="n"/>
      <c r="K442" s="555" t="n"/>
      <c r="L442" s="555" t="n"/>
      <c r="M442" s="479">
        <f>IF(K442="","",YEAR(K442))</f>
        <v/>
      </c>
      <c r="N442" s="479">
        <f>IF(K442="","",ROUNDUP(MONTH(K442)/3,0))</f>
        <v/>
      </c>
      <c r="O442" s="479">
        <f>IF(K442="","",IF(MONTH(K442)&lt;=6,1,2))</f>
        <v/>
      </c>
      <c r="P442" s="480">
        <f>IF(B442&lt;&gt;"Actif",0,H442*J442)</f>
        <v/>
      </c>
      <c r="Q442" s="480">
        <f>IF(B442&lt;&gt;"Actif",0,H442*I442)</f>
        <v/>
      </c>
      <c r="R442" s="480">
        <f>IF(B442&lt;&gt;"Actif",0,H442*I442*J442)</f>
        <v/>
      </c>
      <c r="S442" s="479" t="n"/>
    </row>
    <row r="443">
      <c r="A443" s="479">
        <f>IF(C443="","",ROW()-4)</f>
        <v/>
      </c>
      <c r="B443" s="479" t="n"/>
      <c r="C443" s="479" t="n"/>
      <c r="D443" s="479" t="n"/>
      <c r="E443" s="479" t="n"/>
      <c r="F443" s="479" t="n"/>
      <c r="G443" s="479" t="n"/>
      <c r="H443" s="480" t="n"/>
      <c r="I443" s="554" t="n"/>
      <c r="J443" s="554" t="n"/>
      <c r="K443" s="555" t="n"/>
      <c r="L443" s="555" t="n"/>
      <c r="M443" s="479">
        <f>IF(K443="","",YEAR(K443))</f>
        <v/>
      </c>
      <c r="N443" s="479">
        <f>IF(K443="","",ROUNDUP(MONTH(K443)/3,0))</f>
        <v/>
      </c>
      <c r="O443" s="479">
        <f>IF(K443="","",IF(MONTH(K443)&lt;=6,1,2))</f>
        <v/>
      </c>
      <c r="P443" s="480">
        <f>IF(B443&lt;&gt;"Actif",0,H443*J443)</f>
        <v/>
      </c>
      <c r="Q443" s="480">
        <f>IF(B443&lt;&gt;"Actif",0,H443*I443)</f>
        <v/>
      </c>
      <c r="R443" s="480">
        <f>IF(B443&lt;&gt;"Actif",0,H443*I443*J443)</f>
        <v/>
      </c>
      <c r="S443" s="479" t="n"/>
    </row>
    <row r="444">
      <c r="A444" s="479">
        <f>IF(C444="","",ROW()-4)</f>
        <v/>
      </c>
      <c r="B444" s="479" t="n"/>
      <c r="C444" s="479" t="n"/>
      <c r="D444" s="479" t="n"/>
      <c r="E444" s="479" t="n"/>
      <c r="F444" s="479" t="n"/>
      <c r="G444" s="479" t="n"/>
      <c r="H444" s="480" t="n"/>
      <c r="I444" s="554" t="n"/>
      <c r="J444" s="554" t="n"/>
      <c r="K444" s="555" t="n"/>
      <c r="L444" s="555" t="n"/>
      <c r="M444" s="479">
        <f>IF(K444="","",YEAR(K444))</f>
        <v/>
      </c>
      <c r="N444" s="479">
        <f>IF(K444="","",ROUNDUP(MONTH(K444)/3,0))</f>
        <v/>
      </c>
      <c r="O444" s="479">
        <f>IF(K444="","",IF(MONTH(K444)&lt;=6,1,2))</f>
        <v/>
      </c>
      <c r="P444" s="480">
        <f>IF(B444&lt;&gt;"Actif",0,H444*J444)</f>
        <v/>
      </c>
      <c r="Q444" s="480">
        <f>IF(B444&lt;&gt;"Actif",0,H444*I444)</f>
        <v/>
      </c>
      <c r="R444" s="480">
        <f>IF(B444&lt;&gt;"Actif",0,H444*I444*J444)</f>
        <v/>
      </c>
      <c r="S444" s="479" t="n"/>
    </row>
    <row r="445">
      <c r="A445" s="479">
        <f>IF(C445="","",ROW()-4)</f>
        <v/>
      </c>
      <c r="B445" s="479" t="n"/>
      <c r="C445" s="479" t="n"/>
      <c r="D445" s="479" t="n"/>
      <c r="E445" s="479" t="n"/>
      <c r="F445" s="479" t="n"/>
      <c r="G445" s="479" t="n"/>
      <c r="H445" s="480" t="n"/>
      <c r="I445" s="554" t="n"/>
      <c r="J445" s="554" t="n"/>
      <c r="K445" s="555" t="n"/>
      <c r="L445" s="555" t="n"/>
      <c r="M445" s="479">
        <f>IF(K445="","",YEAR(K445))</f>
        <v/>
      </c>
      <c r="N445" s="479">
        <f>IF(K445="","",ROUNDUP(MONTH(K445)/3,0))</f>
        <v/>
      </c>
      <c r="O445" s="479">
        <f>IF(K445="","",IF(MONTH(K445)&lt;=6,1,2))</f>
        <v/>
      </c>
      <c r="P445" s="480">
        <f>IF(B445&lt;&gt;"Actif",0,H445*J445)</f>
        <v/>
      </c>
      <c r="Q445" s="480">
        <f>IF(B445&lt;&gt;"Actif",0,H445*I445)</f>
        <v/>
      </c>
      <c r="R445" s="480">
        <f>IF(B445&lt;&gt;"Actif",0,H445*I445*J445)</f>
        <v/>
      </c>
      <c r="S445" s="479" t="n"/>
    </row>
    <row r="446">
      <c r="A446" s="479">
        <f>IF(C446="","",ROW()-4)</f>
        <v/>
      </c>
      <c r="B446" s="479" t="n"/>
      <c r="C446" s="479" t="n"/>
      <c r="D446" s="479" t="n"/>
      <c r="E446" s="479" t="n"/>
      <c r="F446" s="479" t="n"/>
      <c r="G446" s="479" t="n"/>
      <c r="H446" s="480" t="n"/>
      <c r="I446" s="554" t="n"/>
      <c r="J446" s="554" t="n"/>
      <c r="K446" s="555" t="n"/>
      <c r="L446" s="555" t="n"/>
      <c r="M446" s="479">
        <f>IF(K446="","",YEAR(K446))</f>
        <v/>
      </c>
      <c r="N446" s="479">
        <f>IF(K446="","",ROUNDUP(MONTH(K446)/3,0))</f>
        <v/>
      </c>
      <c r="O446" s="479">
        <f>IF(K446="","",IF(MONTH(K446)&lt;=6,1,2))</f>
        <v/>
      </c>
      <c r="P446" s="480">
        <f>IF(B446&lt;&gt;"Actif",0,H446*J446)</f>
        <v/>
      </c>
      <c r="Q446" s="480">
        <f>IF(B446&lt;&gt;"Actif",0,H446*I446)</f>
        <v/>
      </c>
      <c r="R446" s="480">
        <f>IF(B446&lt;&gt;"Actif",0,H446*I446*J446)</f>
        <v/>
      </c>
      <c r="S446" s="479" t="n"/>
    </row>
    <row r="447">
      <c r="A447" s="479">
        <f>IF(C447="","",ROW()-4)</f>
        <v/>
      </c>
      <c r="B447" s="479" t="n"/>
      <c r="C447" s="479" t="n"/>
      <c r="D447" s="479" t="n"/>
      <c r="E447" s="479" t="n"/>
      <c r="F447" s="479" t="n"/>
      <c r="G447" s="479" t="n"/>
      <c r="H447" s="480" t="n"/>
      <c r="I447" s="554" t="n"/>
      <c r="J447" s="554" t="n"/>
      <c r="K447" s="555" t="n"/>
      <c r="L447" s="555" t="n"/>
      <c r="M447" s="479">
        <f>IF(K447="","",YEAR(K447))</f>
        <v/>
      </c>
      <c r="N447" s="479">
        <f>IF(K447="","",ROUNDUP(MONTH(K447)/3,0))</f>
        <v/>
      </c>
      <c r="O447" s="479">
        <f>IF(K447="","",IF(MONTH(K447)&lt;=6,1,2))</f>
        <v/>
      </c>
      <c r="P447" s="480">
        <f>IF(B447&lt;&gt;"Actif",0,H447*J447)</f>
        <v/>
      </c>
      <c r="Q447" s="480">
        <f>IF(B447&lt;&gt;"Actif",0,H447*I447)</f>
        <v/>
      </c>
      <c r="R447" s="480">
        <f>IF(B447&lt;&gt;"Actif",0,H447*I447*J447)</f>
        <v/>
      </c>
      <c r="S447" s="479" t="n"/>
    </row>
    <row r="448">
      <c r="A448" s="479">
        <f>IF(C448="","",ROW()-4)</f>
        <v/>
      </c>
      <c r="B448" s="479" t="n"/>
      <c r="C448" s="479" t="n"/>
      <c r="D448" s="479" t="n"/>
      <c r="E448" s="479" t="n"/>
      <c r="F448" s="479" t="n"/>
      <c r="G448" s="479" t="n"/>
      <c r="H448" s="480" t="n"/>
      <c r="I448" s="554" t="n"/>
      <c r="J448" s="554" t="n"/>
      <c r="K448" s="555" t="n"/>
      <c r="L448" s="555" t="n"/>
      <c r="M448" s="479">
        <f>IF(K448="","",YEAR(K448))</f>
        <v/>
      </c>
      <c r="N448" s="479">
        <f>IF(K448="","",ROUNDUP(MONTH(K448)/3,0))</f>
        <v/>
      </c>
      <c r="O448" s="479">
        <f>IF(K448="","",IF(MONTH(K448)&lt;=6,1,2))</f>
        <v/>
      </c>
      <c r="P448" s="480">
        <f>IF(B448&lt;&gt;"Actif",0,H448*J448)</f>
        <v/>
      </c>
      <c r="Q448" s="480">
        <f>IF(B448&lt;&gt;"Actif",0,H448*I448)</f>
        <v/>
      </c>
      <c r="R448" s="480">
        <f>IF(B448&lt;&gt;"Actif",0,H448*I448*J448)</f>
        <v/>
      </c>
      <c r="S448" s="479" t="n"/>
    </row>
    <row r="449">
      <c r="A449" s="479">
        <f>IF(C449="","",ROW()-4)</f>
        <v/>
      </c>
      <c r="B449" s="479" t="n"/>
      <c r="C449" s="479" t="n"/>
      <c r="D449" s="479" t="n"/>
      <c r="E449" s="479" t="n"/>
      <c r="F449" s="479" t="n"/>
      <c r="G449" s="479" t="n"/>
      <c r="H449" s="480" t="n"/>
      <c r="I449" s="554" t="n"/>
      <c r="J449" s="554" t="n"/>
      <c r="K449" s="555" t="n"/>
      <c r="L449" s="555" t="n"/>
      <c r="M449" s="479">
        <f>IF(K449="","",YEAR(K449))</f>
        <v/>
      </c>
      <c r="N449" s="479">
        <f>IF(K449="","",ROUNDUP(MONTH(K449)/3,0))</f>
        <v/>
      </c>
      <c r="O449" s="479">
        <f>IF(K449="","",IF(MONTH(K449)&lt;=6,1,2))</f>
        <v/>
      </c>
      <c r="P449" s="480">
        <f>IF(B449&lt;&gt;"Actif",0,H449*J449)</f>
        <v/>
      </c>
      <c r="Q449" s="480">
        <f>IF(B449&lt;&gt;"Actif",0,H449*I449)</f>
        <v/>
      </c>
      <c r="R449" s="480">
        <f>IF(B449&lt;&gt;"Actif",0,H449*I449*J449)</f>
        <v/>
      </c>
      <c r="S449" s="479" t="n"/>
    </row>
    <row r="450">
      <c r="A450" s="479">
        <f>IF(C450="","",ROW()-4)</f>
        <v/>
      </c>
      <c r="B450" s="479" t="n"/>
      <c r="C450" s="479" t="n"/>
      <c r="D450" s="479" t="n"/>
      <c r="E450" s="479" t="n"/>
      <c r="F450" s="479" t="n"/>
      <c r="G450" s="479" t="n"/>
      <c r="H450" s="480" t="n"/>
      <c r="I450" s="554" t="n"/>
      <c r="J450" s="554" t="n"/>
      <c r="K450" s="555" t="n"/>
      <c r="L450" s="555" t="n"/>
      <c r="M450" s="479">
        <f>IF(K450="","",YEAR(K450))</f>
        <v/>
      </c>
      <c r="N450" s="479">
        <f>IF(K450="","",ROUNDUP(MONTH(K450)/3,0))</f>
        <v/>
      </c>
      <c r="O450" s="479">
        <f>IF(K450="","",IF(MONTH(K450)&lt;=6,1,2))</f>
        <v/>
      </c>
      <c r="P450" s="480">
        <f>IF(B450&lt;&gt;"Actif",0,H450*J450)</f>
        <v/>
      </c>
      <c r="Q450" s="480">
        <f>IF(B450&lt;&gt;"Actif",0,H450*I450)</f>
        <v/>
      </c>
      <c r="R450" s="480">
        <f>IF(B450&lt;&gt;"Actif",0,H450*I450*J450)</f>
        <v/>
      </c>
      <c r="S450" s="479" t="n"/>
    </row>
    <row r="451">
      <c r="A451" s="479">
        <f>IF(C451="","",ROW()-4)</f>
        <v/>
      </c>
      <c r="B451" s="479" t="n"/>
      <c r="C451" s="479" t="n"/>
      <c r="D451" s="479" t="n"/>
      <c r="E451" s="479" t="n"/>
      <c r="F451" s="479" t="n"/>
      <c r="G451" s="479" t="n"/>
      <c r="H451" s="480" t="n"/>
      <c r="I451" s="554" t="n"/>
      <c r="J451" s="554" t="n"/>
      <c r="K451" s="555" t="n"/>
      <c r="L451" s="555" t="n"/>
      <c r="M451" s="479">
        <f>IF(K451="","",YEAR(K451))</f>
        <v/>
      </c>
      <c r="N451" s="479">
        <f>IF(K451="","",ROUNDUP(MONTH(K451)/3,0))</f>
        <v/>
      </c>
      <c r="O451" s="479">
        <f>IF(K451="","",IF(MONTH(K451)&lt;=6,1,2))</f>
        <v/>
      </c>
      <c r="P451" s="480">
        <f>IF(B451&lt;&gt;"Actif",0,H451*J451)</f>
        <v/>
      </c>
      <c r="Q451" s="480">
        <f>IF(B451&lt;&gt;"Actif",0,H451*I451)</f>
        <v/>
      </c>
      <c r="R451" s="480">
        <f>IF(B451&lt;&gt;"Actif",0,H451*I451*J451)</f>
        <v/>
      </c>
      <c r="S451" s="479" t="n"/>
    </row>
    <row r="452">
      <c r="A452" s="479">
        <f>IF(C452="","",ROW()-4)</f>
        <v/>
      </c>
      <c r="B452" s="479" t="n"/>
      <c r="C452" s="479" t="n"/>
      <c r="D452" s="479" t="n"/>
      <c r="E452" s="479" t="n"/>
      <c r="F452" s="479" t="n"/>
      <c r="G452" s="479" t="n"/>
      <c r="H452" s="480" t="n"/>
      <c r="I452" s="554" t="n"/>
      <c r="J452" s="554" t="n"/>
      <c r="K452" s="555" t="n"/>
      <c r="L452" s="555" t="n"/>
      <c r="M452" s="479">
        <f>IF(K452="","",YEAR(K452))</f>
        <v/>
      </c>
      <c r="N452" s="479">
        <f>IF(K452="","",ROUNDUP(MONTH(K452)/3,0))</f>
        <v/>
      </c>
      <c r="O452" s="479">
        <f>IF(K452="","",IF(MONTH(K452)&lt;=6,1,2))</f>
        <v/>
      </c>
      <c r="P452" s="480">
        <f>IF(B452&lt;&gt;"Actif",0,H452*J452)</f>
        <v/>
      </c>
      <c r="Q452" s="480">
        <f>IF(B452&lt;&gt;"Actif",0,H452*I452)</f>
        <v/>
      </c>
      <c r="R452" s="480">
        <f>IF(B452&lt;&gt;"Actif",0,H452*I452*J452)</f>
        <v/>
      </c>
      <c r="S452" s="479" t="n"/>
    </row>
    <row r="453">
      <c r="A453" s="479">
        <f>IF(C453="","",ROW()-4)</f>
        <v/>
      </c>
      <c r="B453" s="479" t="n"/>
      <c r="C453" s="479" t="n"/>
      <c r="D453" s="479" t="n"/>
      <c r="E453" s="479" t="n"/>
      <c r="F453" s="479" t="n"/>
      <c r="G453" s="479" t="n"/>
      <c r="H453" s="480" t="n"/>
      <c r="I453" s="554" t="n"/>
      <c r="J453" s="554" t="n"/>
      <c r="K453" s="555" t="n"/>
      <c r="L453" s="555" t="n"/>
      <c r="M453" s="479">
        <f>IF(K453="","",YEAR(K453))</f>
        <v/>
      </c>
      <c r="N453" s="479">
        <f>IF(K453="","",ROUNDUP(MONTH(K453)/3,0))</f>
        <v/>
      </c>
      <c r="O453" s="479">
        <f>IF(K453="","",IF(MONTH(K453)&lt;=6,1,2))</f>
        <v/>
      </c>
      <c r="P453" s="480">
        <f>IF(B453&lt;&gt;"Actif",0,H453*J453)</f>
        <v/>
      </c>
      <c r="Q453" s="480">
        <f>IF(B453&lt;&gt;"Actif",0,H453*I453)</f>
        <v/>
      </c>
      <c r="R453" s="480">
        <f>IF(B453&lt;&gt;"Actif",0,H453*I453*J453)</f>
        <v/>
      </c>
      <c r="S453" s="479" t="n"/>
    </row>
    <row r="454">
      <c r="A454" s="479">
        <f>IF(C454="","",ROW()-4)</f>
        <v/>
      </c>
      <c r="B454" s="479" t="n"/>
      <c r="C454" s="479" t="n"/>
      <c r="D454" s="479" t="n"/>
      <c r="E454" s="479" t="n"/>
      <c r="F454" s="479" t="n"/>
      <c r="G454" s="479" t="n"/>
      <c r="H454" s="480" t="n"/>
      <c r="I454" s="554" t="n"/>
      <c r="J454" s="554" t="n"/>
      <c r="K454" s="555" t="n"/>
      <c r="L454" s="555" t="n"/>
      <c r="M454" s="479">
        <f>IF(K454="","",YEAR(K454))</f>
        <v/>
      </c>
      <c r="N454" s="479">
        <f>IF(K454="","",ROUNDUP(MONTH(K454)/3,0))</f>
        <v/>
      </c>
      <c r="O454" s="479">
        <f>IF(K454="","",IF(MONTH(K454)&lt;=6,1,2))</f>
        <v/>
      </c>
      <c r="P454" s="480">
        <f>IF(B454&lt;&gt;"Actif",0,H454*J454)</f>
        <v/>
      </c>
      <c r="Q454" s="480">
        <f>IF(B454&lt;&gt;"Actif",0,H454*I454)</f>
        <v/>
      </c>
      <c r="R454" s="480">
        <f>IF(B454&lt;&gt;"Actif",0,H454*I454*J454)</f>
        <v/>
      </c>
      <c r="S454" s="479" t="n"/>
    </row>
    <row r="455">
      <c r="A455" s="479">
        <f>IF(C455="","",ROW()-4)</f>
        <v/>
      </c>
      <c r="B455" s="479" t="n"/>
      <c r="C455" s="479" t="n"/>
      <c r="D455" s="479" t="n"/>
      <c r="E455" s="479" t="n"/>
      <c r="F455" s="479" t="n"/>
      <c r="G455" s="479" t="n"/>
      <c r="H455" s="480" t="n"/>
      <c r="I455" s="554" t="n"/>
      <c r="J455" s="554" t="n"/>
      <c r="K455" s="555" t="n"/>
      <c r="L455" s="555" t="n"/>
      <c r="M455" s="479">
        <f>IF(K455="","",YEAR(K455))</f>
        <v/>
      </c>
      <c r="N455" s="479">
        <f>IF(K455="","",ROUNDUP(MONTH(K455)/3,0))</f>
        <v/>
      </c>
      <c r="O455" s="479">
        <f>IF(K455="","",IF(MONTH(K455)&lt;=6,1,2))</f>
        <v/>
      </c>
      <c r="P455" s="480">
        <f>IF(B455&lt;&gt;"Actif",0,H455*J455)</f>
        <v/>
      </c>
      <c r="Q455" s="480">
        <f>IF(B455&lt;&gt;"Actif",0,H455*I455)</f>
        <v/>
      </c>
      <c r="R455" s="480">
        <f>IF(B455&lt;&gt;"Actif",0,H455*I455*J455)</f>
        <v/>
      </c>
      <c r="S455" s="479" t="n"/>
    </row>
    <row r="456">
      <c r="A456" s="479">
        <f>IF(C456="","",ROW()-4)</f>
        <v/>
      </c>
      <c r="B456" s="479" t="n"/>
      <c r="C456" s="479" t="n"/>
      <c r="D456" s="479" t="n"/>
      <c r="E456" s="479" t="n"/>
      <c r="F456" s="479" t="n"/>
      <c r="G456" s="479" t="n"/>
      <c r="H456" s="480" t="n"/>
      <c r="I456" s="554" t="n"/>
      <c r="J456" s="554" t="n"/>
      <c r="K456" s="555" t="n"/>
      <c r="L456" s="555" t="n"/>
      <c r="M456" s="479">
        <f>IF(K456="","",YEAR(K456))</f>
        <v/>
      </c>
      <c r="N456" s="479">
        <f>IF(K456="","",ROUNDUP(MONTH(K456)/3,0))</f>
        <v/>
      </c>
      <c r="O456" s="479">
        <f>IF(K456="","",IF(MONTH(K456)&lt;=6,1,2))</f>
        <v/>
      </c>
      <c r="P456" s="480">
        <f>IF(B456&lt;&gt;"Actif",0,H456*J456)</f>
        <v/>
      </c>
      <c r="Q456" s="480">
        <f>IF(B456&lt;&gt;"Actif",0,H456*I456)</f>
        <v/>
      </c>
      <c r="R456" s="480">
        <f>IF(B456&lt;&gt;"Actif",0,H456*I456*J456)</f>
        <v/>
      </c>
      <c r="S456" s="479" t="n"/>
    </row>
    <row r="457">
      <c r="A457" s="479">
        <f>IF(C457="","",ROW()-4)</f>
        <v/>
      </c>
      <c r="B457" s="479" t="n"/>
      <c r="C457" s="479" t="n"/>
      <c r="D457" s="479" t="n"/>
      <c r="E457" s="479" t="n"/>
      <c r="F457" s="479" t="n"/>
      <c r="G457" s="479" t="n"/>
      <c r="H457" s="480" t="n"/>
      <c r="I457" s="554" t="n"/>
      <c r="J457" s="554" t="n"/>
      <c r="K457" s="555" t="n"/>
      <c r="L457" s="555" t="n"/>
      <c r="M457" s="479">
        <f>IF(K457="","",YEAR(K457))</f>
        <v/>
      </c>
      <c r="N457" s="479">
        <f>IF(K457="","",ROUNDUP(MONTH(K457)/3,0))</f>
        <v/>
      </c>
      <c r="O457" s="479">
        <f>IF(K457="","",IF(MONTH(K457)&lt;=6,1,2))</f>
        <v/>
      </c>
      <c r="P457" s="480">
        <f>IF(B457&lt;&gt;"Actif",0,H457*J457)</f>
        <v/>
      </c>
      <c r="Q457" s="480">
        <f>IF(B457&lt;&gt;"Actif",0,H457*I457)</f>
        <v/>
      </c>
      <c r="R457" s="480">
        <f>IF(B457&lt;&gt;"Actif",0,H457*I457*J457)</f>
        <v/>
      </c>
      <c r="S457" s="479" t="n"/>
    </row>
    <row r="458">
      <c r="A458" s="479">
        <f>IF(C458="","",ROW()-4)</f>
        <v/>
      </c>
      <c r="B458" s="479" t="n"/>
      <c r="C458" s="479" t="n"/>
      <c r="D458" s="479" t="n"/>
      <c r="E458" s="479" t="n"/>
      <c r="F458" s="479" t="n"/>
      <c r="G458" s="479" t="n"/>
      <c r="H458" s="480" t="n"/>
      <c r="I458" s="554" t="n"/>
      <c r="J458" s="554" t="n"/>
      <c r="K458" s="555" t="n"/>
      <c r="L458" s="555" t="n"/>
      <c r="M458" s="479">
        <f>IF(K458="","",YEAR(K458))</f>
        <v/>
      </c>
      <c r="N458" s="479">
        <f>IF(K458="","",ROUNDUP(MONTH(K458)/3,0))</f>
        <v/>
      </c>
      <c r="O458" s="479">
        <f>IF(K458="","",IF(MONTH(K458)&lt;=6,1,2))</f>
        <v/>
      </c>
      <c r="P458" s="480">
        <f>IF(B458&lt;&gt;"Actif",0,H458*J458)</f>
        <v/>
      </c>
      <c r="Q458" s="480">
        <f>IF(B458&lt;&gt;"Actif",0,H458*I458)</f>
        <v/>
      </c>
      <c r="R458" s="480">
        <f>IF(B458&lt;&gt;"Actif",0,H458*I458*J458)</f>
        <v/>
      </c>
      <c r="S458" s="479" t="n"/>
    </row>
    <row r="459">
      <c r="A459" s="479">
        <f>IF(C459="","",ROW()-4)</f>
        <v/>
      </c>
      <c r="B459" s="479" t="n"/>
      <c r="C459" s="479" t="n"/>
      <c r="D459" s="479" t="n"/>
      <c r="E459" s="479" t="n"/>
      <c r="F459" s="479" t="n"/>
      <c r="G459" s="479" t="n"/>
      <c r="H459" s="480" t="n"/>
      <c r="I459" s="554" t="n"/>
      <c r="J459" s="554" t="n"/>
      <c r="K459" s="555" t="n"/>
      <c r="L459" s="555" t="n"/>
      <c r="M459" s="479">
        <f>IF(K459="","",YEAR(K459))</f>
        <v/>
      </c>
      <c r="N459" s="479">
        <f>IF(K459="","",ROUNDUP(MONTH(K459)/3,0))</f>
        <v/>
      </c>
      <c r="O459" s="479">
        <f>IF(K459="","",IF(MONTH(K459)&lt;=6,1,2))</f>
        <v/>
      </c>
      <c r="P459" s="480">
        <f>IF(B459&lt;&gt;"Actif",0,H459*J459)</f>
        <v/>
      </c>
      <c r="Q459" s="480">
        <f>IF(B459&lt;&gt;"Actif",0,H459*I459)</f>
        <v/>
      </c>
      <c r="R459" s="480">
        <f>IF(B459&lt;&gt;"Actif",0,H459*I459*J459)</f>
        <v/>
      </c>
      <c r="S459" s="479" t="n"/>
    </row>
    <row r="460">
      <c r="A460" s="479">
        <f>IF(C460="","",ROW()-4)</f>
        <v/>
      </c>
      <c r="B460" s="479" t="n"/>
      <c r="C460" s="479" t="n"/>
      <c r="D460" s="479" t="n"/>
      <c r="E460" s="479" t="n"/>
      <c r="F460" s="479" t="n"/>
      <c r="G460" s="479" t="n"/>
      <c r="H460" s="480" t="n"/>
      <c r="I460" s="554" t="n"/>
      <c r="J460" s="554" t="n"/>
      <c r="K460" s="555" t="n"/>
      <c r="L460" s="555" t="n"/>
      <c r="M460" s="479">
        <f>IF(K460="","",YEAR(K460))</f>
        <v/>
      </c>
      <c r="N460" s="479">
        <f>IF(K460="","",ROUNDUP(MONTH(K460)/3,0))</f>
        <v/>
      </c>
      <c r="O460" s="479">
        <f>IF(K460="","",IF(MONTH(K460)&lt;=6,1,2))</f>
        <v/>
      </c>
      <c r="P460" s="480">
        <f>IF(B460&lt;&gt;"Actif",0,H460*J460)</f>
        <v/>
      </c>
      <c r="Q460" s="480">
        <f>IF(B460&lt;&gt;"Actif",0,H460*I460)</f>
        <v/>
      </c>
      <c r="R460" s="480">
        <f>IF(B460&lt;&gt;"Actif",0,H460*I460*J460)</f>
        <v/>
      </c>
      <c r="S460" s="479" t="n"/>
    </row>
    <row r="461">
      <c r="A461" s="479">
        <f>IF(C461="","",ROW()-4)</f>
        <v/>
      </c>
      <c r="B461" s="479" t="n"/>
      <c r="C461" s="479" t="n"/>
      <c r="D461" s="479" t="n"/>
      <c r="E461" s="479" t="n"/>
      <c r="F461" s="479" t="n"/>
      <c r="G461" s="479" t="n"/>
      <c r="H461" s="480" t="n"/>
      <c r="I461" s="554" t="n"/>
      <c r="J461" s="554" t="n"/>
      <c r="K461" s="555" t="n"/>
      <c r="L461" s="555" t="n"/>
      <c r="M461" s="479">
        <f>IF(K461="","",YEAR(K461))</f>
        <v/>
      </c>
      <c r="N461" s="479">
        <f>IF(K461="","",ROUNDUP(MONTH(K461)/3,0))</f>
        <v/>
      </c>
      <c r="O461" s="479">
        <f>IF(K461="","",IF(MONTH(K461)&lt;=6,1,2))</f>
        <v/>
      </c>
      <c r="P461" s="480">
        <f>IF(B461&lt;&gt;"Actif",0,H461*J461)</f>
        <v/>
      </c>
      <c r="Q461" s="480">
        <f>IF(B461&lt;&gt;"Actif",0,H461*I461)</f>
        <v/>
      </c>
      <c r="R461" s="480">
        <f>IF(B461&lt;&gt;"Actif",0,H461*I461*J461)</f>
        <v/>
      </c>
      <c r="S461" s="479" t="n"/>
    </row>
    <row r="462">
      <c r="A462" s="479">
        <f>IF(C462="","",ROW()-4)</f>
        <v/>
      </c>
      <c r="B462" s="479" t="n"/>
      <c r="C462" s="479" t="n"/>
      <c r="D462" s="479" t="n"/>
      <c r="E462" s="479" t="n"/>
      <c r="F462" s="479" t="n"/>
      <c r="G462" s="479" t="n"/>
      <c r="H462" s="480" t="n"/>
      <c r="I462" s="554" t="n"/>
      <c r="J462" s="554" t="n"/>
      <c r="K462" s="555" t="n"/>
      <c r="L462" s="555" t="n"/>
      <c r="M462" s="479">
        <f>IF(K462="","",YEAR(K462))</f>
        <v/>
      </c>
      <c r="N462" s="479">
        <f>IF(K462="","",ROUNDUP(MONTH(K462)/3,0))</f>
        <v/>
      </c>
      <c r="O462" s="479">
        <f>IF(K462="","",IF(MONTH(K462)&lt;=6,1,2))</f>
        <v/>
      </c>
      <c r="P462" s="480">
        <f>IF(B462&lt;&gt;"Actif",0,H462*J462)</f>
        <v/>
      </c>
      <c r="Q462" s="480">
        <f>IF(B462&lt;&gt;"Actif",0,H462*I462)</f>
        <v/>
      </c>
      <c r="R462" s="480">
        <f>IF(B462&lt;&gt;"Actif",0,H462*I462*J462)</f>
        <v/>
      </c>
      <c r="S462" s="479" t="n"/>
    </row>
    <row r="463">
      <c r="A463" s="479">
        <f>IF(C463="","",ROW()-4)</f>
        <v/>
      </c>
      <c r="B463" s="479" t="n"/>
      <c r="C463" s="479" t="n"/>
      <c r="D463" s="479" t="n"/>
      <c r="E463" s="479" t="n"/>
      <c r="F463" s="479" t="n"/>
      <c r="G463" s="479" t="n"/>
      <c r="H463" s="480" t="n"/>
      <c r="I463" s="554" t="n"/>
      <c r="J463" s="554" t="n"/>
      <c r="K463" s="555" t="n"/>
      <c r="L463" s="555" t="n"/>
      <c r="M463" s="479">
        <f>IF(K463="","",YEAR(K463))</f>
        <v/>
      </c>
      <c r="N463" s="479">
        <f>IF(K463="","",ROUNDUP(MONTH(K463)/3,0))</f>
        <v/>
      </c>
      <c r="O463" s="479">
        <f>IF(K463="","",IF(MONTH(K463)&lt;=6,1,2))</f>
        <v/>
      </c>
      <c r="P463" s="480">
        <f>IF(B463&lt;&gt;"Actif",0,H463*J463)</f>
        <v/>
      </c>
      <c r="Q463" s="480">
        <f>IF(B463&lt;&gt;"Actif",0,H463*I463)</f>
        <v/>
      </c>
      <c r="R463" s="480">
        <f>IF(B463&lt;&gt;"Actif",0,H463*I463*J463)</f>
        <v/>
      </c>
      <c r="S463" s="479" t="n"/>
    </row>
    <row r="464">
      <c r="A464" s="479">
        <f>IF(C464="","",ROW()-4)</f>
        <v/>
      </c>
      <c r="B464" s="479" t="n"/>
      <c r="C464" s="479" t="n"/>
      <c r="D464" s="479" t="n"/>
      <c r="E464" s="479" t="n"/>
      <c r="F464" s="479" t="n"/>
      <c r="G464" s="479" t="n"/>
      <c r="H464" s="480" t="n"/>
      <c r="I464" s="554" t="n"/>
      <c r="J464" s="554" t="n"/>
      <c r="K464" s="555" t="n"/>
      <c r="L464" s="555" t="n"/>
      <c r="M464" s="479">
        <f>IF(K464="","",YEAR(K464))</f>
        <v/>
      </c>
      <c r="N464" s="479">
        <f>IF(K464="","",ROUNDUP(MONTH(K464)/3,0))</f>
        <v/>
      </c>
      <c r="O464" s="479">
        <f>IF(K464="","",IF(MONTH(K464)&lt;=6,1,2))</f>
        <v/>
      </c>
      <c r="P464" s="480">
        <f>IF(B464&lt;&gt;"Actif",0,H464*J464)</f>
        <v/>
      </c>
      <c r="Q464" s="480">
        <f>IF(B464&lt;&gt;"Actif",0,H464*I464)</f>
        <v/>
      </c>
      <c r="R464" s="480">
        <f>IF(B464&lt;&gt;"Actif",0,H464*I464*J464)</f>
        <v/>
      </c>
      <c r="S464" s="479" t="n"/>
    </row>
    <row r="465">
      <c r="A465" s="479">
        <f>IF(C465="","",ROW()-4)</f>
        <v/>
      </c>
      <c r="B465" s="479" t="n"/>
      <c r="C465" s="479" t="n"/>
      <c r="D465" s="479" t="n"/>
      <c r="E465" s="479" t="n"/>
      <c r="F465" s="479" t="n"/>
      <c r="G465" s="479" t="n"/>
      <c r="H465" s="480" t="n"/>
      <c r="I465" s="554" t="n"/>
      <c r="J465" s="554" t="n"/>
      <c r="K465" s="555" t="n"/>
      <c r="L465" s="555" t="n"/>
      <c r="M465" s="479">
        <f>IF(K465="","",YEAR(K465))</f>
        <v/>
      </c>
      <c r="N465" s="479">
        <f>IF(K465="","",ROUNDUP(MONTH(K465)/3,0))</f>
        <v/>
      </c>
      <c r="O465" s="479">
        <f>IF(K465="","",IF(MONTH(K465)&lt;=6,1,2))</f>
        <v/>
      </c>
      <c r="P465" s="480">
        <f>IF(B465&lt;&gt;"Actif",0,H465*J465)</f>
        <v/>
      </c>
      <c r="Q465" s="480">
        <f>IF(B465&lt;&gt;"Actif",0,H465*I465)</f>
        <v/>
      </c>
      <c r="R465" s="480">
        <f>IF(B465&lt;&gt;"Actif",0,H465*I465*J465)</f>
        <v/>
      </c>
      <c r="S465" s="479" t="n"/>
    </row>
    <row r="466">
      <c r="A466" s="479">
        <f>IF(C466="","",ROW()-4)</f>
        <v/>
      </c>
      <c r="B466" s="479" t="n"/>
      <c r="C466" s="479" t="n"/>
      <c r="D466" s="479" t="n"/>
      <c r="E466" s="479" t="n"/>
      <c r="F466" s="479" t="n"/>
      <c r="G466" s="479" t="n"/>
      <c r="H466" s="480" t="n"/>
      <c r="I466" s="554" t="n"/>
      <c r="J466" s="554" t="n"/>
      <c r="K466" s="555" t="n"/>
      <c r="L466" s="555" t="n"/>
      <c r="M466" s="479">
        <f>IF(K466="","",YEAR(K466))</f>
        <v/>
      </c>
      <c r="N466" s="479">
        <f>IF(K466="","",ROUNDUP(MONTH(K466)/3,0))</f>
        <v/>
      </c>
      <c r="O466" s="479">
        <f>IF(K466="","",IF(MONTH(K466)&lt;=6,1,2))</f>
        <v/>
      </c>
      <c r="P466" s="480">
        <f>IF(B466&lt;&gt;"Actif",0,H466*J466)</f>
        <v/>
      </c>
      <c r="Q466" s="480">
        <f>IF(B466&lt;&gt;"Actif",0,H466*I466)</f>
        <v/>
      </c>
      <c r="R466" s="480">
        <f>IF(B466&lt;&gt;"Actif",0,H466*I466*J466)</f>
        <v/>
      </c>
      <c r="S466" s="479" t="n"/>
    </row>
    <row r="467">
      <c r="A467" s="479">
        <f>IF(C467="","",ROW()-4)</f>
        <v/>
      </c>
      <c r="B467" s="479" t="n"/>
      <c r="C467" s="479" t="n"/>
      <c r="D467" s="479" t="n"/>
      <c r="E467" s="479" t="n"/>
      <c r="F467" s="479" t="n"/>
      <c r="G467" s="479" t="n"/>
      <c r="H467" s="480" t="n"/>
      <c r="I467" s="554" t="n"/>
      <c r="J467" s="554" t="n"/>
      <c r="K467" s="555" t="n"/>
      <c r="L467" s="555" t="n"/>
      <c r="M467" s="479">
        <f>IF(K467="","",YEAR(K467))</f>
        <v/>
      </c>
      <c r="N467" s="479">
        <f>IF(K467="","",ROUNDUP(MONTH(K467)/3,0))</f>
        <v/>
      </c>
      <c r="O467" s="479">
        <f>IF(K467="","",IF(MONTH(K467)&lt;=6,1,2))</f>
        <v/>
      </c>
      <c r="P467" s="480">
        <f>IF(B467&lt;&gt;"Actif",0,H467*J467)</f>
        <v/>
      </c>
      <c r="Q467" s="480">
        <f>IF(B467&lt;&gt;"Actif",0,H467*I467)</f>
        <v/>
      </c>
      <c r="R467" s="480">
        <f>IF(B467&lt;&gt;"Actif",0,H467*I467*J467)</f>
        <v/>
      </c>
      <c r="S467" s="479" t="n"/>
    </row>
    <row r="468">
      <c r="A468" s="479">
        <f>IF(C468="","",ROW()-4)</f>
        <v/>
      </c>
      <c r="B468" s="479" t="n"/>
      <c r="C468" s="479" t="n"/>
      <c r="D468" s="479" t="n"/>
      <c r="E468" s="479" t="n"/>
      <c r="F468" s="479" t="n"/>
      <c r="G468" s="479" t="n"/>
      <c r="H468" s="480" t="n"/>
      <c r="I468" s="554" t="n"/>
      <c r="J468" s="554" t="n"/>
      <c r="K468" s="555" t="n"/>
      <c r="L468" s="555" t="n"/>
      <c r="M468" s="479">
        <f>IF(K468="","",YEAR(K468))</f>
        <v/>
      </c>
      <c r="N468" s="479">
        <f>IF(K468="","",ROUNDUP(MONTH(K468)/3,0))</f>
        <v/>
      </c>
      <c r="O468" s="479">
        <f>IF(K468="","",IF(MONTH(K468)&lt;=6,1,2))</f>
        <v/>
      </c>
      <c r="P468" s="480">
        <f>IF(B468&lt;&gt;"Actif",0,H468*J468)</f>
        <v/>
      </c>
      <c r="Q468" s="480">
        <f>IF(B468&lt;&gt;"Actif",0,H468*I468)</f>
        <v/>
      </c>
      <c r="R468" s="480">
        <f>IF(B468&lt;&gt;"Actif",0,H468*I468*J468)</f>
        <v/>
      </c>
      <c r="S468" s="479" t="n"/>
    </row>
    <row r="469">
      <c r="A469" s="479">
        <f>IF(C469="","",ROW()-4)</f>
        <v/>
      </c>
      <c r="B469" s="479" t="n"/>
      <c r="C469" s="479" t="n"/>
      <c r="D469" s="479" t="n"/>
      <c r="E469" s="479" t="n"/>
      <c r="F469" s="479" t="n"/>
      <c r="G469" s="479" t="n"/>
      <c r="H469" s="480" t="n"/>
      <c r="I469" s="554" t="n"/>
      <c r="J469" s="554" t="n"/>
      <c r="K469" s="555" t="n"/>
      <c r="L469" s="555" t="n"/>
      <c r="M469" s="479">
        <f>IF(K469="","",YEAR(K469))</f>
        <v/>
      </c>
      <c r="N469" s="479">
        <f>IF(K469="","",ROUNDUP(MONTH(K469)/3,0))</f>
        <v/>
      </c>
      <c r="O469" s="479">
        <f>IF(K469="","",IF(MONTH(K469)&lt;=6,1,2))</f>
        <v/>
      </c>
      <c r="P469" s="480">
        <f>IF(B469&lt;&gt;"Actif",0,H469*J469)</f>
        <v/>
      </c>
      <c r="Q469" s="480">
        <f>IF(B469&lt;&gt;"Actif",0,H469*I469)</f>
        <v/>
      </c>
      <c r="R469" s="480">
        <f>IF(B469&lt;&gt;"Actif",0,H469*I469*J469)</f>
        <v/>
      </c>
      <c r="S469" s="479" t="n"/>
    </row>
    <row r="470">
      <c r="A470" s="479">
        <f>IF(C470="","",ROW()-4)</f>
        <v/>
      </c>
      <c r="B470" s="479" t="n"/>
      <c r="C470" s="479" t="n"/>
      <c r="D470" s="479" t="n"/>
      <c r="E470" s="479" t="n"/>
      <c r="F470" s="479" t="n"/>
      <c r="G470" s="479" t="n"/>
      <c r="H470" s="480" t="n"/>
      <c r="I470" s="554" t="n"/>
      <c r="J470" s="554" t="n"/>
      <c r="K470" s="555" t="n"/>
      <c r="L470" s="555" t="n"/>
      <c r="M470" s="479">
        <f>IF(K470="","",YEAR(K470))</f>
        <v/>
      </c>
      <c r="N470" s="479">
        <f>IF(K470="","",ROUNDUP(MONTH(K470)/3,0))</f>
        <v/>
      </c>
      <c r="O470" s="479">
        <f>IF(K470="","",IF(MONTH(K470)&lt;=6,1,2))</f>
        <v/>
      </c>
      <c r="P470" s="480">
        <f>IF(B470&lt;&gt;"Actif",0,H470*J470)</f>
        <v/>
      </c>
      <c r="Q470" s="480">
        <f>IF(B470&lt;&gt;"Actif",0,H470*I470)</f>
        <v/>
      </c>
      <c r="R470" s="480">
        <f>IF(B470&lt;&gt;"Actif",0,H470*I470*J470)</f>
        <v/>
      </c>
      <c r="S470" s="479" t="n"/>
    </row>
    <row r="471">
      <c r="A471" s="479">
        <f>IF(C471="","",ROW()-4)</f>
        <v/>
      </c>
      <c r="B471" s="479" t="n"/>
      <c r="C471" s="479" t="n"/>
      <c r="D471" s="479" t="n"/>
      <c r="E471" s="479" t="n"/>
      <c r="F471" s="479" t="n"/>
      <c r="G471" s="479" t="n"/>
      <c r="H471" s="480" t="n"/>
      <c r="I471" s="554" t="n"/>
      <c r="J471" s="554" t="n"/>
      <c r="K471" s="555" t="n"/>
      <c r="L471" s="555" t="n"/>
      <c r="M471" s="479">
        <f>IF(K471="","",YEAR(K471))</f>
        <v/>
      </c>
      <c r="N471" s="479">
        <f>IF(K471="","",ROUNDUP(MONTH(K471)/3,0))</f>
        <v/>
      </c>
      <c r="O471" s="479">
        <f>IF(K471="","",IF(MONTH(K471)&lt;=6,1,2))</f>
        <v/>
      </c>
      <c r="P471" s="480">
        <f>IF(B471&lt;&gt;"Actif",0,H471*J471)</f>
        <v/>
      </c>
      <c r="Q471" s="480">
        <f>IF(B471&lt;&gt;"Actif",0,H471*I471)</f>
        <v/>
      </c>
      <c r="R471" s="480">
        <f>IF(B471&lt;&gt;"Actif",0,H471*I471*J471)</f>
        <v/>
      </c>
      <c r="S471" s="479" t="n"/>
    </row>
    <row r="472">
      <c r="A472" s="479">
        <f>IF(C472="","",ROW()-4)</f>
        <v/>
      </c>
      <c r="B472" s="479" t="n"/>
      <c r="C472" s="479" t="n"/>
      <c r="D472" s="479" t="n"/>
      <c r="E472" s="479" t="n"/>
      <c r="F472" s="479" t="n"/>
      <c r="G472" s="479" t="n"/>
      <c r="H472" s="480" t="n"/>
      <c r="I472" s="554" t="n"/>
      <c r="J472" s="554" t="n"/>
      <c r="K472" s="555" t="n"/>
      <c r="L472" s="555" t="n"/>
      <c r="M472" s="479">
        <f>IF(K472="","",YEAR(K472))</f>
        <v/>
      </c>
      <c r="N472" s="479">
        <f>IF(K472="","",ROUNDUP(MONTH(K472)/3,0))</f>
        <v/>
      </c>
      <c r="O472" s="479">
        <f>IF(K472="","",IF(MONTH(K472)&lt;=6,1,2))</f>
        <v/>
      </c>
      <c r="P472" s="480">
        <f>IF(B472&lt;&gt;"Actif",0,H472*J472)</f>
        <v/>
      </c>
      <c r="Q472" s="480">
        <f>IF(B472&lt;&gt;"Actif",0,H472*I472)</f>
        <v/>
      </c>
      <c r="R472" s="480">
        <f>IF(B472&lt;&gt;"Actif",0,H472*I472*J472)</f>
        <v/>
      </c>
      <c r="S472" s="479" t="n"/>
    </row>
    <row r="473">
      <c r="A473" s="479">
        <f>IF(C473="","",ROW()-4)</f>
        <v/>
      </c>
      <c r="B473" s="479" t="n"/>
      <c r="C473" s="479" t="n"/>
      <c r="D473" s="479" t="n"/>
      <c r="E473" s="479" t="n"/>
      <c r="F473" s="479" t="n"/>
      <c r="G473" s="479" t="n"/>
      <c r="H473" s="480" t="n"/>
      <c r="I473" s="554" t="n"/>
      <c r="J473" s="554" t="n"/>
      <c r="K473" s="555" t="n"/>
      <c r="L473" s="555" t="n"/>
      <c r="M473" s="479">
        <f>IF(K473="","",YEAR(K473))</f>
        <v/>
      </c>
      <c r="N473" s="479">
        <f>IF(K473="","",ROUNDUP(MONTH(K473)/3,0))</f>
        <v/>
      </c>
      <c r="O473" s="479">
        <f>IF(K473="","",IF(MONTH(K473)&lt;=6,1,2))</f>
        <v/>
      </c>
      <c r="P473" s="480">
        <f>IF(B473&lt;&gt;"Actif",0,H473*J473)</f>
        <v/>
      </c>
      <c r="Q473" s="480">
        <f>IF(B473&lt;&gt;"Actif",0,H473*I473)</f>
        <v/>
      </c>
      <c r="R473" s="480">
        <f>IF(B473&lt;&gt;"Actif",0,H473*I473*J473)</f>
        <v/>
      </c>
      <c r="S473" s="479" t="n"/>
    </row>
    <row r="474">
      <c r="A474" s="479">
        <f>IF(C474="","",ROW()-4)</f>
        <v/>
      </c>
      <c r="B474" s="479" t="n"/>
      <c r="C474" s="479" t="n"/>
      <c r="D474" s="479" t="n"/>
      <c r="E474" s="479" t="n"/>
      <c r="F474" s="479" t="n"/>
      <c r="G474" s="479" t="n"/>
      <c r="H474" s="480" t="n"/>
      <c r="I474" s="554" t="n"/>
      <c r="J474" s="554" t="n"/>
      <c r="K474" s="555" t="n"/>
      <c r="L474" s="555" t="n"/>
      <c r="M474" s="479">
        <f>IF(K474="","",YEAR(K474))</f>
        <v/>
      </c>
      <c r="N474" s="479">
        <f>IF(K474="","",ROUNDUP(MONTH(K474)/3,0))</f>
        <v/>
      </c>
      <c r="O474" s="479">
        <f>IF(K474="","",IF(MONTH(K474)&lt;=6,1,2))</f>
        <v/>
      </c>
      <c r="P474" s="480">
        <f>IF(B474&lt;&gt;"Actif",0,H474*J474)</f>
        <v/>
      </c>
      <c r="Q474" s="480">
        <f>IF(B474&lt;&gt;"Actif",0,H474*I474)</f>
        <v/>
      </c>
      <c r="R474" s="480">
        <f>IF(B474&lt;&gt;"Actif",0,H474*I474*J474)</f>
        <v/>
      </c>
      <c r="S474" s="479" t="n"/>
    </row>
    <row r="475">
      <c r="A475" s="479">
        <f>IF(C475="","",ROW()-4)</f>
        <v/>
      </c>
      <c r="B475" s="479" t="n"/>
      <c r="C475" s="479" t="n"/>
      <c r="D475" s="479" t="n"/>
      <c r="E475" s="479" t="n"/>
      <c r="F475" s="479" t="n"/>
      <c r="G475" s="479" t="n"/>
      <c r="H475" s="480" t="n"/>
      <c r="I475" s="554" t="n"/>
      <c r="J475" s="554" t="n"/>
      <c r="K475" s="555" t="n"/>
      <c r="L475" s="555" t="n"/>
      <c r="M475" s="479">
        <f>IF(K475="","",YEAR(K475))</f>
        <v/>
      </c>
      <c r="N475" s="479">
        <f>IF(K475="","",ROUNDUP(MONTH(K475)/3,0))</f>
        <v/>
      </c>
      <c r="O475" s="479">
        <f>IF(K475="","",IF(MONTH(K475)&lt;=6,1,2))</f>
        <v/>
      </c>
      <c r="P475" s="480">
        <f>IF(B475&lt;&gt;"Actif",0,H475*J475)</f>
        <v/>
      </c>
      <c r="Q475" s="480">
        <f>IF(B475&lt;&gt;"Actif",0,H475*I475)</f>
        <v/>
      </c>
      <c r="R475" s="480">
        <f>IF(B475&lt;&gt;"Actif",0,H475*I475*J475)</f>
        <v/>
      </c>
      <c r="S475" s="479" t="n"/>
    </row>
    <row r="476">
      <c r="A476" s="479">
        <f>IF(C476="","",ROW()-4)</f>
        <v/>
      </c>
      <c r="B476" s="479" t="n"/>
      <c r="C476" s="479" t="n"/>
      <c r="D476" s="479" t="n"/>
      <c r="E476" s="479" t="n"/>
      <c r="F476" s="479" t="n"/>
      <c r="G476" s="479" t="n"/>
      <c r="H476" s="480" t="n"/>
      <c r="I476" s="554" t="n"/>
      <c r="J476" s="554" t="n"/>
      <c r="K476" s="555" t="n"/>
      <c r="L476" s="555" t="n"/>
      <c r="M476" s="479">
        <f>IF(K476="","",YEAR(K476))</f>
        <v/>
      </c>
      <c r="N476" s="479">
        <f>IF(K476="","",ROUNDUP(MONTH(K476)/3,0))</f>
        <v/>
      </c>
      <c r="O476" s="479">
        <f>IF(K476="","",IF(MONTH(K476)&lt;=6,1,2))</f>
        <v/>
      </c>
      <c r="P476" s="480">
        <f>IF(B476&lt;&gt;"Actif",0,H476*J476)</f>
        <v/>
      </c>
      <c r="Q476" s="480">
        <f>IF(B476&lt;&gt;"Actif",0,H476*I476)</f>
        <v/>
      </c>
      <c r="R476" s="480">
        <f>IF(B476&lt;&gt;"Actif",0,H476*I476*J476)</f>
        <v/>
      </c>
      <c r="S476" s="479" t="n"/>
    </row>
    <row r="477">
      <c r="A477" s="479">
        <f>IF(C477="","",ROW()-4)</f>
        <v/>
      </c>
      <c r="B477" s="479" t="n"/>
      <c r="C477" s="479" t="n"/>
      <c r="D477" s="479" t="n"/>
      <c r="E477" s="479" t="n"/>
      <c r="F477" s="479" t="n"/>
      <c r="G477" s="479" t="n"/>
      <c r="H477" s="480" t="n"/>
      <c r="I477" s="554" t="n"/>
      <c r="J477" s="554" t="n"/>
      <c r="K477" s="555" t="n"/>
      <c r="L477" s="555" t="n"/>
      <c r="M477" s="479">
        <f>IF(K477="","",YEAR(K477))</f>
        <v/>
      </c>
      <c r="N477" s="479">
        <f>IF(K477="","",ROUNDUP(MONTH(K477)/3,0))</f>
        <v/>
      </c>
      <c r="O477" s="479">
        <f>IF(K477="","",IF(MONTH(K477)&lt;=6,1,2))</f>
        <v/>
      </c>
      <c r="P477" s="480">
        <f>IF(B477&lt;&gt;"Actif",0,H477*J477)</f>
        <v/>
      </c>
      <c r="Q477" s="480">
        <f>IF(B477&lt;&gt;"Actif",0,H477*I477)</f>
        <v/>
      </c>
      <c r="R477" s="480">
        <f>IF(B477&lt;&gt;"Actif",0,H477*I477*J477)</f>
        <v/>
      </c>
      <c r="S477" s="479" t="n"/>
    </row>
    <row r="478">
      <c r="A478" s="479">
        <f>IF(C478="","",ROW()-4)</f>
        <v/>
      </c>
      <c r="B478" s="479" t="n"/>
      <c r="C478" s="479" t="n"/>
      <c r="D478" s="479" t="n"/>
      <c r="E478" s="479" t="n"/>
      <c r="F478" s="479" t="n"/>
      <c r="G478" s="479" t="n"/>
      <c r="H478" s="480" t="n"/>
      <c r="I478" s="554" t="n"/>
      <c r="J478" s="554" t="n"/>
      <c r="K478" s="555" t="n"/>
      <c r="L478" s="555" t="n"/>
      <c r="M478" s="479">
        <f>IF(K478="","",YEAR(K478))</f>
        <v/>
      </c>
      <c r="N478" s="479">
        <f>IF(K478="","",ROUNDUP(MONTH(K478)/3,0))</f>
        <v/>
      </c>
      <c r="O478" s="479">
        <f>IF(K478="","",IF(MONTH(K478)&lt;=6,1,2))</f>
        <v/>
      </c>
      <c r="P478" s="480">
        <f>IF(B478&lt;&gt;"Actif",0,H478*J478)</f>
        <v/>
      </c>
      <c r="Q478" s="480">
        <f>IF(B478&lt;&gt;"Actif",0,H478*I478)</f>
        <v/>
      </c>
      <c r="R478" s="480">
        <f>IF(B478&lt;&gt;"Actif",0,H478*I478*J478)</f>
        <v/>
      </c>
      <c r="S478" s="479" t="n"/>
    </row>
    <row r="479">
      <c r="A479" s="479">
        <f>IF(C479="","",ROW()-4)</f>
        <v/>
      </c>
      <c r="B479" s="479" t="n"/>
      <c r="C479" s="479" t="n"/>
      <c r="D479" s="479" t="n"/>
      <c r="E479" s="479" t="n"/>
      <c r="F479" s="479" t="n"/>
      <c r="G479" s="479" t="n"/>
      <c r="H479" s="480" t="n"/>
      <c r="I479" s="554" t="n"/>
      <c r="J479" s="554" t="n"/>
      <c r="K479" s="555" t="n"/>
      <c r="L479" s="555" t="n"/>
      <c r="M479" s="479">
        <f>IF(K479="","",YEAR(K479))</f>
        <v/>
      </c>
      <c r="N479" s="479">
        <f>IF(K479="","",ROUNDUP(MONTH(K479)/3,0))</f>
        <v/>
      </c>
      <c r="O479" s="479">
        <f>IF(K479="","",IF(MONTH(K479)&lt;=6,1,2))</f>
        <v/>
      </c>
      <c r="P479" s="480">
        <f>IF(B479&lt;&gt;"Actif",0,H479*J479)</f>
        <v/>
      </c>
      <c r="Q479" s="480">
        <f>IF(B479&lt;&gt;"Actif",0,H479*I479)</f>
        <v/>
      </c>
      <c r="R479" s="480">
        <f>IF(B479&lt;&gt;"Actif",0,H479*I479*J479)</f>
        <v/>
      </c>
      <c r="S479" s="479" t="n"/>
    </row>
    <row r="480">
      <c r="A480" s="479">
        <f>IF(C480="","",ROW()-4)</f>
        <v/>
      </c>
      <c r="B480" s="479" t="n"/>
      <c r="C480" s="479" t="n"/>
      <c r="D480" s="479" t="n"/>
      <c r="E480" s="479" t="n"/>
      <c r="F480" s="479" t="n"/>
      <c r="G480" s="479" t="n"/>
      <c r="H480" s="480" t="n"/>
      <c r="I480" s="554" t="n"/>
      <c r="J480" s="554" t="n"/>
      <c r="K480" s="555" t="n"/>
      <c r="L480" s="555" t="n"/>
      <c r="M480" s="479">
        <f>IF(K480="","",YEAR(K480))</f>
        <v/>
      </c>
      <c r="N480" s="479">
        <f>IF(K480="","",ROUNDUP(MONTH(K480)/3,0))</f>
        <v/>
      </c>
      <c r="O480" s="479">
        <f>IF(K480="","",IF(MONTH(K480)&lt;=6,1,2))</f>
        <v/>
      </c>
      <c r="P480" s="480">
        <f>IF(B480&lt;&gt;"Actif",0,H480*J480)</f>
        <v/>
      </c>
      <c r="Q480" s="480">
        <f>IF(B480&lt;&gt;"Actif",0,H480*I480)</f>
        <v/>
      </c>
      <c r="R480" s="480">
        <f>IF(B480&lt;&gt;"Actif",0,H480*I480*J480)</f>
        <v/>
      </c>
      <c r="S480" s="479" t="n"/>
    </row>
    <row r="481">
      <c r="A481" s="479">
        <f>IF(C481="","",ROW()-4)</f>
        <v/>
      </c>
      <c r="B481" s="479" t="n"/>
      <c r="C481" s="479" t="n"/>
      <c r="D481" s="479" t="n"/>
      <c r="E481" s="479" t="n"/>
      <c r="F481" s="479" t="n"/>
      <c r="G481" s="479" t="n"/>
      <c r="H481" s="480" t="n"/>
      <c r="I481" s="554" t="n"/>
      <c r="J481" s="554" t="n"/>
      <c r="K481" s="555" t="n"/>
      <c r="L481" s="555" t="n"/>
      <c r="M481" s="479">
        <f>IF(K481="","",YEAR(K481))</f>
        <v/>
      </c>
      <c r="N481" s="479">
        <f>IF(K481="","",ROUNDUP(MONTH(K481)/3,0))</f>
        <v/>
      </c>
      <c r="O481" s="479">
        <f>IF(K481="","",IF(MONTH(K481)&lt;=6,1,2))</f>
        <v/>
      </c>
      <c r="P481" s="480">
        <f>IF(B481&lt;&gt;"Actif",0,H481*J481)</f>
        <v/>
      </c>
      <c r="Q481" s="480">
        <f>IF(B481&lt;&gt;"Actif",0,H481*I481)</f>
        <v/>
      </c>
      <c r="R481" s="480">
        <f>IF(B481&lt;&gt;"Actif",0,H481*I481*J481)</f>
        <v/>
      </c>
      <c r="S481" s="479" t="n"/>
    </row>
    <row r="482">
      <c r="A482" s="479">
        <f>IF(C482="","",ROW()-4)</f>
        <v/>
      </c>
      <c r="B482" s="479" t="n"/>
      <c r="C482" s="479" t="n"/>
      <c r="D482" s="479" t="n"/>
      <c r="E482" s="479" t="n"/>
      <c r="F482" s="479" t="n"/>
      <c r="G482" s="479" t="n"/>
      <c r="H482" s="480" t="n"/>
      <c r="I482" s="554" t="n"/>
      <c r="J482" s="554" t="n"/>
      <c r="K482" s="555" t="n"/>
      <c r="L482" s="555" t="n"/>
      <c r="M482" s="479">
        <f>IF(K482="","",YEAR(K482))</f>
        <v/>
      </c>
      <c r="N482" s="479">
        <f>IF(K482="","",ROUNDUP(MONTH(K482)/3,0))</f>
        <v/>
      </c>
      <c r="O482" s="479">
        <f>IF(K482="","",IF(MONTH(K482)&lt;=6,1,2))</f>
        <v/>
      </c>
      <c r="P482" s="480">
        <f>IF(B482&lt;&gt;"Actif",0,H482*J482)</f>
        <v/>
      </c>
      <c r="Q482" s="480">
        <f>IF(B482&lt;&gt;"Actif",0,H482*I482)</f>
        <v/>
      </c>
      <c r="R482" s="480">
        <f>IF(B482&lt;&gt;"Actif",0,H482*I482*J482)</f>
        <v/>
      </c>
      <c r="S482" s="479" t="n"/>
    </row>
    <row r="483">
      <c r="A483" s="479">
        <f>IF(C483="","",ROW()-4)</f>
        <v/>
      </c>
      <c r="B483" s="479" t="n"/>
      <c r="C483" s="479" t="n"/>
      <c r="D483" s="479" t="n"/>
      <c r="E483" s="479" t="n"/>
      <c r="F483" s="479" t="n"/>
      <c r="G483" s="479" t="n"/>
      <c r="H483" s="480" t="n"/>
      <c r="I483" s="554" t="n"/>
      <c r="J483" s="554" t="n"/>
      <c r="K483" s="555" t="n"/>
      <c r="L483" s="555" t="n"/>
      <c r="M483" s="479">
        <f>IF(K483="","",YEAR(K483))</f>
        <v/>
      </c>
      <c r="N483" s="479">
        <f>IF(K483="","",ROUNDUP(MONTH(K483)/3,0))</f>
        <v/>
      </c>
      <c r="O483" s="479">
        <f>IF(K483="","",IF(MONTH(K483)&lt;=6,1,2))</f>
        <v/>
      </c>
      <c r="P483" s="480">
        <f>IF(B483&lt;&gt;"Actif",0,H483*J483)</f>
        <v/>
      </c>
      <c r="Q483" s="480">
        <f>IF(B483&lt;&gt;"Actif",0,H483*I483)</f>
        <v/>
      </c>
      <c r="R483" s="480">
        <f>IF(B483&lt;&gt;"Actif",0,H483*I483*J483)</f>
        <v/>
      </c>
      <c r="S483" s="479" t="n"/>
    </row>
    <row r="484">
      <c r="A484" s="479">
        <f>IF(C484="","",ROW()-4)</f>
        <v/>
      </c>
      <c r="B484" s="479" t="n"/>
      <c r="C484" s="479" t="n"/>
      <c r="D484" s="479" t="n"/>
      <c r="E484" s="479" t="n"/>
      <c r="F484" s="479" t="n"/>
      <c r="G484" s="479" t="n"/>
      <c r="H484" s="480" t="n"/>
      <c r="I484" s="554" t="n"/>
      <c r="J484" s="554" t="n"/>
      <c r="K484" s="555" t="n"/>
      <c r="L484" s="555" t="n"/>
      <c r="M484" s="479">
        <f>IF(K484="","",YEAR(K484))</f>
        <v/>
      </c>
      <c r="N484" s="479">
        <f>IF(K484="","",ROUNDUP(MONTH(K484)/3,0))</f>
        <v/>
      </c>
      <c r="O484" s="479">
        <f>IF(K484="","",IF(MONTH(K484)&lt;=6,1,2))</f>
        <v/>
      </c>
      <c r="P484" s="480">
        <f>IF(B484&lt;&gt;"Actif",0,H484*J484)</f>
        <v/>
      </c>
      <c r="Q484" s="480">
        <f>IF(B484&lt;&gt;"Actif",0,H484*I484)</f>
        <v/>
      </c>
      <c r="R484" s="480">
        <f>IF(B484&lt;&gt;"Actif",0,H484*I484*J484)</f>
        <v/>
      </c>
      <c r="S484" s="479" t="n"/>
    </row>
    <row r="485">
      <c r="A485" s="479">
        <f>IF(C485="","",ROW()-4)</f>
        <v/>
      </c>
      <c r="B485" s="479" t="n"/>
      <c r="C485" s="479" t="n"/>
      <c r="D485" s="479" t="n"/>
      <c r="E485" s="479" t="n"/>
      <c r="F485" s="479" t="n"/>
      <c r="G485" s="479" t="n"/>
      <c r="H485" s="480" t="n"/>
      <c r="I485" s="554" t="n"/>
      <c r="J485" s="554" t="n"/>
      <c r="K485" s="555" t="n"/>
      <c r="L485" s="555" t="n"/>
      <c r="M485" s="479">
        <f>IF(K485="","",YEAR(K485))</f>
        <v/>
      </c>
      <c r="N485" s="479">
        <f>IF(K485="","",ROUNDUP(MONTH(K485)/3,0))</f>
        <v/>
      </c>
      <c r="O485" s="479">
        <f>IF(K485="","",IF(MONTH(K485)&lt;=6,1,2))</f>
        <v/>
      </c>
      <c r="P485" s="480">
        <f>IF(B485&lt;&gt;"Actif",0,H485*J485)</f>
        <v/>
      </c>
      <c r="Q485" s="480">
        <f>IF(B485&lt;&gt;"Actif",0,H485*I485)</f>
        <v/>
      </c>
      <c r="R485" s="480">
        <f>IF(B485&lt;&gt;"Actif",0,H485*I485*J485)</f>
        <v/>
      </c>
      <c r="S485" s="479" t="n"/>
    </row>
    <row r="486">
      <c r="A486" s="479">
        <f>IF(C486="","",ROW()-4)</f>
        <v/>
      </c>
      <c r="B486" s="479" t="n"/>
      <c r="C486" s="479" t="n"/>
      <c r="D486" s="479" t="n"/>
      <c r="E486" s="479" t="n"/>
      <c r="F486" s="479" t="n"/>
      <c r="G486" s="479" t="n"/>
      <c r="H486" s="480" t="n"/>
      <c r="I486" s="554" t="n"/>
      <c r="J486" s="554" t="n"/>
      <c r="K486" s="555" t="n"/>
      <c r="L486" s="555" t="n"/>
      <c r="M486" s="479">
        <f>IF(K486="","",YEAR(K486))</f>
        <v/>
      </c>
      <c r="N486" s="479">
        <f>IF(K486="","",ROUNDUP(MONTH(K486)/3,0))</f>
        <v/>
      </c>
      <c r="O486" s="479">
        <f>IF(K486="","",IF(MONTH(K486)&lt;=6,1,2))</f>
        <v/>
      </c>
      <c r="P486" s="480">
        <f>IF(B486&lt;&gt;"Actif",0,H486*J486)</f>
        <v/>
      </c>
      <c r="Q486" s="480">
        <f>IF(B486&lt;&gt;"Actif",0,H486*I486)</f>
        <v/>
      </c>
      <c r="R486" s="480">
        <f>IF(B486&lt;&gt;"Actif",0,H486*I486*J486)</f>
        <v/>
      </c>
      <c r="S486" s="479" t="n"/>
    </row>
    <row r="487">
      <c r="A487" s="479">
        <f>IF(C487="","",ROW()-4)</f>
        <v/>
      </c>
      <c r="B487" s="479" t="n"/>
      <c r="C487" s="479" t="n"/>
      <c r="D487" s="479" t="n"/>
      <c r="E487" s="479" t="n"/>
      <c r="F487" s="479" t="n"/>
      <c r="G487" s="479" t="n"/>
      <c r="H487" s="480" t="n"/>
      <c r="I487" s="554" t="n"/>
      <c r="J487" s="554" t="n"/>
      <c r="K487" s="555" t="n"/>
      <c r="L487" s="555" t="n"/>
      <c r="M487" s="479">
        <f>IF(K487="","",YEAR(K487))</f>
        <v/>
      </c>
      <c r="N487" s="479">
        <f>IF(K487="","",ROUNDUP(MONTH(K487)/3,0))</f>
        <v/>
      </c>
      <c r="O487" s="479">
        <f>IF(K487="","",IF(MONTH(K487)&lt;=6,1,2))</f>
        <v/>
      </c>
      <c r="P487" s="480">
        <f>IF(B487&lt;&gt;"Actif",0,H487*J487)</f>
        <v/>
      </c>
      <c r="Q487" s="480">
        <f>IF(B487&lt;&gt;"Actif",0,H487*I487)</f>
        <v/>
      </c>
      <c r="R487" s="480">
        <f>IF(B487&lt;&gt;"Actif",0,H487*I487*J487)</f>
        <v/>
      </c>
      <c r="S487" s="479" t="n"/>
    </row>
    <row r="488">
      <c r="A488" s="479">
        <f>IF(C488="","",ROW()-4)</f>
        <v/>
      </c>
      <c r="B488" s="479" t="n"/>
      <c r="C488" s="479" t="n"/>
      <c r="D488" s="479" t="n"/>
      <c r="E488" s="479" t="n"/>
      <c r="F488" s="479" t="n"/>
      <c r="G488" s="479" t="n"/>
      <c r="H488" s="480" t="n"/>
      <c r="I488" s="554" t="n"/>
      <c r="J488" s="554" t="n"/>
      <c r="K488" s="555" t="n"/>
      <c r="L488" s="555" t="n"/>
      <c r="M488" s="479">
        <f>IF(K488="","",YEAR(K488))</f>
        <v/>
      </c>
      <c r="N488" s="479">
        <f>IF(K488="","",ROUNDUP(MONTH(K488)/3,0))</f>
        <v/>
      </c>
      <c r="O488" s="479">
        <f>IF(K488="","",IF(MONTH(K488)&lt;=6,1,2))</f>
        <v/>
      </c>
      <c r="P488" s="480">
        <f>IF(B488&lt;&gt;"Actif",0,H488*J488)</f>
        <v/>
      </c>
      <c r="Q488" s="480">
        <f>IF(B488&lt;&gt;"Actif",0,H488*I488)</f>
        <v/>
      </c>
      <c r="R488" s="480">
        <f>IF(B488&lt;&gt;"Actif",0,H488*I488*J488)</f>
        <v/>
      </c>
      <c r="S488" s="479" t="n"/>
    </row>
    <row r="489">
      <c r="A489" s="479">
        <f>IF(C489="","",ROW()-4)</f>
        <v/>
      </c>
      <c r="B489" s="479" t="n"/>
      <c r="C489" s="479" t="n"/>
      <c r="D489" s="479" t="n"/>
      <c r="E489" s="479" t="n"/>
      <c r="F489" s="479" t="n"/>
      <c r="G489" s="479" t="n"/>
      <c r="H489" s="480" t="n"/>
      <c r="I489" s="554" t="n"/>
      <c r="J489" s="554" t="n"/>
      <c r="K489" s="555" t="n"/>
      <c r="L489" s="555" t="n"/>
      <c r="M489" s="479">
        <f>IF(K489="","",YEAR(K489))</f>
        <v/>
      </c>
      <c r="N489" s="479">
        <f>IF(K489="","",ROUNDUP(MONTH(K489)/3,0))</f>
        <v/>
      </c>
      <c r="O489" s="479">
        <f>IF(K489="","",IF(MONTH(K489)&lt;=6,1,2))</f>
        <v/>
      </c>
      <c r="P489" s="480">
        <f>IF(B489&lt;&gt;"Actif",0,H489*J489)</f>
        <v/>
      </c>
      <c r="Q489" s="480">
        <f>IF(B489&lt;&gt;"Actif",0,H489*I489)</f>
        <v/>
      </c>
      <c r="R489" s="480">
        <f>IF(B489&lt;&gt;"Actif",0,H489*I489*J489)</f>
        <v/>
      </c>
      <c r="S489" s="479" t="n"/>
    </row>
    <row r="490">
      <c r="A490" s="479">
        <f>IF(C490="","",ROW()-4)</f>
        <v/>
      </c>
      <c r="B490" s="479" t="n"/>
      <c r="C490" s="479" t="n"/>
      <c r="D490" s="479" t="n"/>
      <c r="E490" s="479" t="n"/>
      <c r="F490" s="479" t="n"/>
      <c r="G490" s="479" t="n"/>
      <c r="H490" s="480" t="n"/>
      <c r="I490" s="554" t="n"/>
      <c r="J490" s="554" t="n"/>
      <c r="K490" s="555" t="n"/>
      <c r="L490" s="555" t="n"/>
      <c r="M490" s="479">
        <f>IF(K490="","",YEAR(K490))</f>
        <v/>
      </c>
      <c r="N490" s="479">
        <f>IF(K490="","",ROUNDUP(MONTH(K490)/3,0))</f>
        <v/>
      </c>
      <c r="O490" s="479">
        <f>IF(K490="","",IF(MONTH(K490)&lt;=6,1,2))</f>
        <v/>
      </c>
      <c r="P490" s="480">
        <f>IF(B490&lt;&gt;"Actif",0,H490*J490)</f>
        <v/>
      </c>
      <c r="Q490" s="480">
        <f>IF(B490&lt;&gt;"Actif",0,H490*I490)</f>
        <v/>
      </c>
      <c r="R490" s="480">
        <f>IF(B490&lt;&gt;"Actif",0,H490*I490*J490)</f>
        <v/>
      </c>
      <c r="S490" s="479" t="n"/>
    </row>
    <row r="491">
      <c r="A491" s="479">
        <f>IF(C491="","",ROW()-4)</f>
        <v/>
      </c>
      <c r="B491" s="479" t="n"/>
      <c r="C491" s="479" t="n"/>
      <c r="D491" s="479" t="n"/>
      <c r="E491" s="479" t="n"/>
      <c r="F491" s="479" t="n"/>
      <c r="G491" s="479" t="n"/>
      <c r="H491" s="480" t="n"/>
      <c r="I491" s="554" t="n"/>
      <c r="J491" s="554" t="n"/>
      <c r="K491" s="555" t="n"/>
      <c r="L491" s="555" t="n"/>
      <c r="M491" s="479">
        <f>IF(K491="","",YEAR(K491))</f>
        <v/>
      </c>
      <c r="N491" s="479">
        <f>IF(K491="","",ROUNDUP(MONTH(K491)/3,0))</f>
        <v/>
      </c>
      <c r="O491" s="479">
        <f>IF(K491="","",IF(MONTH(K491)&lt;=6,1,2))</f>
        <v/>
      </c>
      <c r="P491" s="480">
        <f>IF(B491&lt;&gt;"Actif",0,H491*J491)</f>
        <v/>
      </c>
      <c r="Q491" s="480">
        <f>IF(B491&lt;&gt;"Actif",0,H491*I491)</f>
        <v/>
      </c>
      <c r="R491" s="480">
        <f>IF(B491&lt;&gt;"Actif",0,H491*I491*J491)</f>
        <v/>
      </c>
      <c r="S491" s="479" t="n"/>
    </row>
    <row r="492">
      <c r="A492" s="479">
        <f>IF(C492="","",ROW()-4)</f>
        <v/>
      </c>
      <c r="B492" s="479" t="n"/>
      <c r="C492" s="479" t="n"/>
      <c r="D492" s="479" t="n"/>
      <c r="E492" s="479" t="n"/>
      <c r="F492" s="479" t="n"/>
      <c r="G492" s="479" t="n"/>
      <c r="H492" s="480" t="n"/>
      <c r="I492" s="554" t="n"/>
      <c r="J492" s="554" t="n"/>
      <c r="K492" s="555" t="n"/>
      <c r="L492" s="555" t="n"/>
      <c r="M492" s="479">
        <f>IF(K492="","",YEAR(K492))</f>
        <v/>
      </c>
      <c r="N492" s="479">
        <f>IF(K492="","",ROUNDUP(MONTH(K492)/3,0))</f>
        <v/>
      </c>
      <c r="O492" s="479">
        <f>IF(K492="","",IF(MONTH(K492)&lt;=6,1,2))</f>
        <v/>
      </c>
      <c r="P492" s="480">
        <f>IF(B492&lt;&gt;"Actif",0,H492*J492)</f>
        <v/>
      </c>
      <c r="Q492" s="480">
        <f>IF(B492&lt;&gt;"Actif",0,H492*I492)</f>
        <v/>
      </c>
      <c r="R492" s="480">
        <f>IF(B492&lt;&gt;"Actif",0,H492*I492*J492)</f>
        <v/>
      </c>
      <c r="S492" s="479" t="n"/>
    </row>
    <row r="493">
      <c r="A493" s="479">
        <f>IF(C493="","",ROW()-4)</f>
        <v/>
      </c>
      <c r="B493" s="479" t="n"/>
      <c r="C493" s="479" t="n"/>
      <c r="D493" s="479" t="n"/>
      <c r="E493" s="479" t="n"/>
      <c r="F493" s="479" t="n"/>
      <c r="G493" s="479" t="n"/>
      <c r="H493" s="480" t="n"/>
      <c r="I493" s="554" t="n"/>
      <c r="J493" s="554" t="n"/>
      <c r="K493" s="555" t="n"/>
      <c r="L493" s="555" t="n"/>
      <c r="M493" s="479">
        <f>IF(K493="","",YEAR(K493))</f>
        <v/>
      </c>
      <c r="N493" s="479">
        <f>IF(K493="","",ROUNDUP(MONTH(K493)/3,0))</f>
        <v/>
      </c>
      <c r="O493" s="479">
        <f>IF(K493="","",IF(MONTH(K493)&lt;=6,1,2))</f>
        <v/>
      </c>
      <c r="P493" s="480">
        <f>IF(B493&lt;&gt;"Actif",0,H493*J493)</f>
        <v/>
      </c>
      <c r="Q493" s="480">
        <f>IF(B493&lt;&gt;"Actif",0,H493*I493)</f>
        <v/>
      </c>
      <c r="R493" s="480">
        <f>IF(B493&lt;&gt;"Actif",0,H493*I493*J493)</f>
        <v/>
      </c>
      <c r="S493" s="479" t="n"/>
    </row>
    <row r="494">
      <c r="A494" s="479">
        <f>IF(C494="","",ROW()-4)</f>
        <v/>
      </c>
      <c r="B494" s="479" t="n"/>
      <c r="C494" s="479" t="n"/>
      <c r="D494" s="479" t="n"/>
      <c r="E494" s="479" t="n"/>
      <c r="F494" s="479" t="n"/>
      <c r="G494" s="479" t="n"/>
      <c r="H494" s="480" t="n"/>
      <c r="I494" s="554" t="n"/>
      <c r="J494" s="554" t="n"/>
      <c r="K494" s="555" t="n"/>
      <c r="L494" s="555" t="n"/>
      <c r="M494" s="479">
        <f>IF(K494="","",YEAR(K494))</f>
        <v/>
      </c>
      <c r="N494" s="479">
        <f>IF(K494="","",ROUNDUP(MONTH(K494)/3,0))</f>
        <v/>
      </c>
      <c r="O494" s="479">
        <f>IF(K494="","",IF(MONTH(K494)&lt;=6,1,2))</f>
        <v/>
      </c>
      <c r="P494" s="480">
        <f>IF(B494&lt;&gt;"Actif",0,H494*J494)</f>
        <v/>
      </c>
      <c r="Q494" s="480">
        <f>IF(B494&lt;&gt;"Actif",0,H494*I494)</f>
        <v/>
      </c>
      <c r="R494" s="480">
        <f>IF(B494&lt;&gt;"Actif",0,H494*I494*J494)</f>
        <v/>
      </c>
      <c r="S494" s="479" t="n"/>
    </row>
    <row r="495">
      <c r="A495" s="479">
        <f>IF(C495="","",ROW()-4)</f>
        <v/>
      </c>
      <c r="B495" s="479" t="n"/>
      <c r="C495" s="479" t="n"/>
      <c r="D495" s="479" t="n"/>
      <c r="E495" s="479" t="n"/>
      <c r="F495" s="479" t="n"/>
      <c r="G495" s="479" t="n"/>
      <c r="H495" s="480" t="n"/>
      <c r="I495" s="554" t="n"/>
      <c r="J495" s="554" t="n"/>
      <c r="K495" s="555" t="n"/>
      <c r="L495" s="555" t="n"/>
      <c r="M495" s="479">
        <f>IF(K495="","",YEAR(K495))</f>
        <v/>
      </c>
      <c r="N495" s="479">
        <f>IF(K495="","",ROUNDUP(MONTH(K495)/3,0))</f>
        <v/>
      </c>
      <c r="O495" s="479">
        <f>IF(K495="","",IF(MONTH(K495)&lt;=6,1,2))</f>
        <v/>
      </c>
      <c r="P495" s="480">
        <f>IF(B495&lt;&gt;"Actif",0,H495*J495)</f>
        <v/>
      </c>
      <c r="Q495" s="480">
        <f>IF(B495&lt;&gt;"Actif",0,H495*I495)</f>
        <v/>
      </c>
      <c r="R495" s="480">
        <f>IF(B495&lt;&gt;"Actif",0,H495*I495*J495)</f>
        <v/>
      </c>
      <c r="S495" s="479" t="n"/>
    </row>
    <row r="496">
      <c r="A496" s="479">
        <f>IF(C496="","",ROW()-4)</f>
        <v/>
      </c>
      <c r="B496" s="479" t="n"/>
      <c r="C496" s="479" t="n"/>
      <c r="D496" s="479" t="n"/>
      <c r="E496" s="479" t="n"/>
      <c r="F496" s="479" t="n"/>
      <c r="G496" s="479" t="n"/>
      <c r="H496" s="480" t="n"/>
      <c r="I496" s="554" t="n"/>
      <c r="J496" s="554" t="n"/>
      <c r="K496" s="555" t="n"/>
      <c r="L496" s="555" t="n"/>
      <c r="M496" s="479">
        <f>IF(K496="","",YEAR(K496))</f>
        <v/>
      </c>
      <c r="N496" s="479">
        <f>IF(K496="","",ROUNDUP(MONTH(K496)/3,0))</f>
        <v/>
      </c>
      <c r="O496" s="479">
        <f>IF(K496="","",IF(MONTH(K496)&lt;=6,1,2))</f>
        <v/>
      </c>
      <c r="P496" s="480">
        <f>IF(B496&lt;&gt;"Actif",0,H496*J496)</f>
        <v/>
      </c>
      <c r="Q496" s="480">
        <f>IF(B496&lt;&gt;"Actif",0,H496*I496)</f>
        <v/>
      </c>
      <c r="R496" s="480">
        <f>IF(B496&lt;&gt;"Actif",0,H496*I496*J496)</f>
        <v/>
      </c>
      <c r="S496" s="479" t="n"/>
    </row>
    <row r="497">
      <c r="A497" s="479">
        <f>IF(C497="","",ROW()-4)</f>
        <v/>
      </c>
      <c r="B497" s="479" t="n"/>
      <c r="C497" s="479" t="n"/>
      <c r="D497" s="479" t="n"/>
      <c r="E497" s="479" t="n"/>
      <c r="F497" s="479" t="n"/>
      <c r="G497" s="479" t="n"/>
      <c r="H497" s="480" t="n"/>
      <c r="I497" s="554" t="n"/>
      <c r="J497" s="554" t="n"/>
      <c r="K497" s="555" t="n"/>
      <c r="L497" s="555" t="n"/>
      <c r="M497" s="479">
        <f>IF(K497="","",YEAR(K497))</f>
        <v/>
      </c>
      <c r="N497" s="479">
        <f>IF(K497="","",ROUNDUP(MONTH(K497)/3,0))</f>
        <v/>
      </c>
      <c r="O497" s="479">
        <f>IF(K497="","",IF(MONTH(K497)&lt;=6,1,2))</f>
        <v/>
      </c>
      <c r="P497" s="480">
        <f>IF(B497&lt;&gt;"Actif",0,H497*J497)</f>
        <v/>
      </c>
      <c r="Q497" s="480">
        <f>IF(B497&lt;&gt;"Actif",0,H497*I497)</f>
        <v/>
      </c>
      <c r="R497" s="480">
        <f>IF(B497&lt;&gt;"Actif",0,H497*I497*J497)</f>
        <v/>
      </c>
      <c r="S497" s="479" t="n"/>
    </row>
    <row r="498">
      <c r="A498" s="479">
        <f>IF(C498="","",ROW()-4)</f>
        <v/>
      </c>
      <c r="B498" s="479" t="n"/>
      <c r="C498" s="479" t="n"/>
      <c r="D498" s="479" t="n"/>
      <c r="E498" s="479" t="n"/>
      <c r="F498" s="479" t="n"/>
      <c r="G498" s="479" t="n"/>
      <c r="H498" s="480" t="n"/>
      <c r="I498" s="554" t="n"/>
      <c r="J498" s="554" t="n"/>
      <c r="K498" s="555" t="n"/>
      <c r="L498" s="555" t="n"/>
      <c r="M498" s="479">
        <f>IF(K498="","",YEAR(K498))</f>
        <v/>
      </c>
      <c r="N498" s="479">
        <f>IF(K498="","",ROUNDUP(MONTH(K498)/3,0))</f>
        <v/>
      </c>
      <c r="O498" s="479">
        <f>IF(K498="","",IF(MONTH(K498)&lt;=6,1,2))</f>
        <v/>
      </c>
      <c r="P498" s="480">
        <f>IF(B498&lt;&gt;"Actif",0,H498*J498)</f>
        <v/>
      </c>
      <c r="Q498" s="480">
        <f>IF(B498&lt;&gt;"Actif",0,H498*I498)</f>
        <v/>
      </c>
      <c r="R498" s="480">
        <f>IF(B498&lt;&gt;"Actif",0,H498*I498*J498)</f>
        <v/>
      </c>
      <c r="S498" s="479" t="n"/>
    </row>
    <row r="499">
      <c r="A499" s="479">
        <f>IF(C499="","",ROW()-4)</f>
        <v/>
      </c>
      <c r="B499" s="479" t="n"/>
      <c r="C499" s="479" t="n"/>
      <c r="D499" s="479" t="n"/>
      <c r="E499" s="479" t="n"/>
      <c r="F499" s="479" t="n"/>
      <c r="G499" s="479" t="n"/>
      <c r="H499" s="480" t="n"/>
      <c r="I499" s="554" t="n"/>
      <c r="J499" s="554" t="n"/>
      <c r="K499" s="555" t="n"/>
      <c r="L499" s="555" t="n"/>
      <c r="M499" s="479">
        <f>IF(K499="","",YEAR(K499))</f>
        <v/>
      </c>
      <c r="N499" s="479">
        <f>IF(K499="","",ROUNDUP(MONTH(K499)/3,0))</f>
        <v/>
      </c>
      <c r="O499" s="479">
        <f>IF(K499="","",IF(MONTH(K499)&lt;=6,1,2))</f>
        <v/>
      </c>
      <c r="P499" s="480">
        <f>IF(B499&lt;&gt;"Actif",0,H499*J499)</f>
        <v/>
      </c>
      <c r="Q499" s="480">
        <f>IF(B499&lt;&gt;"Actif",0,H499*I499)</f>
        <v/>
      </c>
      <c r="R499" s="480">
        <f>IF(B499&lt;&gt;"Actif",0,H499*I499*J499)</f>
        <v/>
      </c>
      <c r="S499" s="479" t="n"/>
    </row>
    <row r="500">
      <c r="A500" s="479">
        <f>IF(C500="","",ROW()-4)</f>
        <v/>
      </c>
      <c r="B500" s="479" t="n"/>
      <c r="C500" s="479" t="n"/>
      <c r="D500" s="479" t="n"/>
      <c r="E500" s="479" t="n"/>
      <c r="F500" s="479" t="n"/>
      <c r="G500" s="479" t="n"/>
      <c r="H500" s="480" t="n"/>
      <c r="I500" s="554" t="n"/>
      <c r="J500" s="554" t="n"/>
      <c r="K500" s="555" t="n"/>
      <c r="L500" s="555" t="n"/>
      <c r="M500" s="479">
        <f>IF(K500="","",YEAR(K500))</f>
        <v/>
      </c>
      <c r="N500" s="479">
        <f>IF(K500="","",ROUNDUP(MONTH(K500)/3,0))</f>
        <v/>
      </c>
      <c r="O500" s="479">
        <f>IF(K500="","",IF(MONTH(K500)&lt;=6,1,2))</f>
        <v/>
      </c>
      <c r="P500" s="480">
        <f>IF(B500&lt;&gt;"Actif",0,H500*J500)</f>
        <v/>
      </c>
      <c r="Q500" s="480">
        <f>IF(B500&lt;&gt;"Actif",0,H500*I500)</f>
        <v/>
      </c>
      <c r="R500" s="480">
        <f>IF(B500&lt;&gt;"Actif",0,H500*I500*J500)</f>
        <v/>
      </c>
      <c r="S500" s="479" t="n"/>
    </row>
    <row r="501">
      <c r="A501" s="479">
        <f>IF(C501="","",ROW()-4)</f>
        <v/>
      </c>
      <c r="B501" s="479" t="n"/>
      <c r="C501" s="479" t="n"/>
      <c r="D501" s="479" t="n"/>
      <c r="E501" s="479" t="n"/>
      <c r="F501" s="479" t="n"/>
      <c r="G501" s="479" t="n"/>
      <c r="H501" s="480" t="n"/>
      <c r="I501" s="554" t="n"/>
      <c r="J501" s="554" t="n"/>
      <c r="K501" s="555" t="n"/>
      <c r="L501" s="555" t="n"/>
      <c r="M501" s="479">
        <f>IF(K501="","",YEAR(K501))</f>
        <v/>
      </c>
      <c r="N501" s="479">
        <f>IF(K501="","",ROUNDUP(MONTH(K501)/3,0))</f>
        <v/>
      </c>
      <c r="O501" s="479">
        <f>IF(K501="","",IF(MONTH(K501)&lt;=6,1,2))</f>
        <v/>
      </c>
      <c r="P501" s="480">
        <f>IF(B501&lt;&gt;"Actif",0,H501*J501)</f>
        <v/>
      </c>
      <c r="Q501" s="480">
        <f>IF(B501&lt;&gt;"Actif",0,H501*I501)</f>
        <v/>
      </c>
      <c r="R501" s="480">
        <f>IF(B501&lt;&gt;"Actif",0,H501*I501*J501)</f>
        <v/>
      </c>
      <c r="S501" s="479" t="n"/>
    </row>
    <row r="502">
      <c r="A502" s="479">
        <f>IF(C502="","",ROW()-4)</f>
        <v/>
      </c>
      <c r="B502" s="479" t="n"/>
      <c r="C502" s="479" t="n"/>
      <c r="D502" s="479" t="n"/>
      <c r="E502" s="479" t="n"/>
      <c r="F502" s="479" t="n"/>
      <c r="G502" s="479" t="n"/>
      <c r="H502" s="480" t="n"/>
      <c r="I502" s="554" t="n"/>
      <c r="J502" s="554" t="n"/>
      <c r="K502" s="555" t="n"/>
      <c r="L502" s="555" t="n"/>
      <c r="M502" s="479">
        <f>IF(K502="","",YEAR(K502))</f>
        <v/>
      </c>
      <c r="N502" s="479">
        <f>IF(K502="","",ROUNDUP(MONTH(K502)/3,0))</f>
        <v/>
      </c>
      <c r="O502" s="479">
        <f>IF(K502="","",IF(MONTH(K502)&lt;=6,1,2))</f>
        <v/>
      </c>
      <c r="P502" s="480">
        <f>IF(B502&lt;&gt;"Actif",0,H502*J502)</f>
        <v/>
      </c>
      <c r="Q502" s="480">
        <f>IF(B502&lt;&gt;"Actif",0,H502*I502)</f>
        <v/>
      </c>
      <c r="R502" s="480">
        <f>IF(B502&lt;&gt;"Actif",0,H502*I502*J502)</f>
        <v/>
      </c>
      <c r="S502" s="479" t="n"/>
    </row>
    <row r="503">
      <c r="A503" s="479">
        <f>IF(C503="","",ROW()-4)</f>
        <v/>
      </c>
      <c r="B503" s="479" t="n"/>
      <c r="C503" s="479" t="n"/>
      <c r="D503" s="479" t="n"/>
      <c r="E503" s="479" t="n"/>
      <c r="F503" s="479" t="n"/>
      <c r="G503" s="479" t="n"/>
      <c r="H503" s="480" t="n"/>
      <c r="I503" s="554" t="n"/>
      <c r="J503" s="554" t="n"/>
      <c r="K503" s="555" t="n"/>
      <c r="L503" s="555" t="n"/>
      <c r="M503" s="479">
        <f>IF(K503="","",YEAR(K503))</f>
        <v/>
      </c>
      <c r="N503" s="479">
        <f>IF(K503="","",ROUNDUP(MONTH(K503)/3,0))</f>
        <v/>
      </c>
      <c r="O503" s="479">
        <f>IF(K503="","",IF(MONTH(K503)&lt;=6,1,2))</f>
        <v/>
      </c>
      <c r="P503" s="480">
        <f>IF(B503&lt;&gt;"Actif",0,H503*J503)</f>
        <v/>
      </c>
      <c r="Q503" s="480">
        <f>IF(B503&lt;&gt;"Actif",0,H503*I503)</f>
        <v/>
      </c>
      <c r="R503" s="480">
        <f>IF(B503&lt;&gt;"Actif",0,H503*I503*J503)</f>
        <v/>
      </c>
      <c r="S503" s="479" t="n"/>
    </row>
    <row r="504">
      <c r="A504">
        <f>IF(C504="","",ROW()-4)</f>
        <v/>
      </c>
      <c r="M504">
        <f>IF(K504="","",YEAR(K504))</f>
        <v/>
      </c>
      <c r="N504">
        <f>IF(K504="","",ROUNDUP(MONTH(K504)/3,0))</f>
        <v/>
      </c>
      <c r="O504">
        <f>IF(K504="","",IF(MONTH(K504)&lt;=6,1,2))</f>
        <v/>
      </c>
      <c r="P504">
        <f>IF(B504&lt;&gt;"Actif",0,H504*J504)</f>
        <v/>
      </c>
      <c r="Q504">
        <f>IF(B504&lt;&gt;"Actif",0,H504*I504)</f>
        <v/>
      </c>
      <c r="R504">
        <f>IF(B504&lt;&gt;"Actif",0,H504*I504*J504)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8A"/>
  <mergeCells count="2">
    <mergeCell ref="A2:S2"/>
    <mergeCell ref="A1:S1"/>
  </mergeCells>
  <conditionalFormatting sqref="A5:S504">
    <cfRule type="expression" priority="3" dxfId="2" stopIfTrue="1">
      <formula>$B5="Supprime"</formula>
    </cfRule>
  </conditionalFormatting>
  <conditionalFormatting sqref="C5:L504">
    <cfRule type="expression" priority="2" dxfId="1">
      <formula>OR($C5="",$D5="",$E5="",$F5="",$G5="",$H5="",$I5="",$J5="",$K5="",$L5="")</formula>
    </cfRule>
  </conditionalFormatting>
  <conditionalFormatting sqref="D5:D504">
    <cfRule type="expression" priority="1" dxfId="0">
      <formula>COUNTIF($D:$D,D5)&gt;1</formula>
    </cfRule>
  </conditionalFormatting>
  <dataValidations count="8">
    <dataValidation sqref="B5:B504" showDropDown="0" showInputMessage="0" showErrorMessage="0" allowBlank="1" type="list">
      <formula1>lstStatut</formula1>
    </dataValidation>
    <dataValidation sqref="E5:E504" showDropDown="0" showInputMessage="0" showErrorMessage="0" allowBlank="1" type="list">
      <formula1>lstCatAff</formula1>
    </dataValidation>
    <dataValidation sqref="F5:F504" showDropDown="0" showInputMessage="0" showErrorMessage="0" allowBlank="1" type="list">
      <formula1>lstCatOuv</formula1>
    </dataValidation>
    <dataValidation sqref="G5:G504" showDropDown="0" showInputMessage="0" showErrorMessage="0" allowBlank="1" type="list">
      <formula1>lstTypeAdj</formula1>
    </dataValidation>
    <dataValidation sqref="H5:H504" showDropDown="0" showInputMessage="0" showErrorMessage="0" allowBlank="0" type="decimal" operator="greaterThanOrEqual">
      <formula1>0</formula1>
    </dataValidation>
    <dataValidation sqref="I5:J504" showDropDown="0" showInputMessage="0" showErrorMessage="0" allowBlank="0" type="decimal">
      <formula1>0</formula1>
      <formula2>1</formula2>
    </dataValidation>
    <dataValidation sqref="L5:L504" showDropDown="0" showInputMessage="0" showErrorMessage="0" allowBlank="0" type="date" operator="greaterThanOrEqual">
      <formula1>K5</formula1>
    </dataValidation>
    <dataValidation sqref="D5:D504" showDropDown="0" showInputMessage="0" showErrorMessage="0" allowBlank="0" type="custom">
      <formula1>COUNTIF($D:$D,D5)&lt;=1</formula1>
    </dataValidation>
  </dataValidations>
  <pageMargins left="0.3" right="0.3" top="0.4" bottom="0.4" header="0.2" footer="0.2"/>
  <pageSetup orientation="landscape" paperSize="9" scale="46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tabSelected="1" workbookViewId="0">
      <selection activeCell="A1" sqref="A1:L2"/>
    </sheetView>
  </sheetViews>
  <sheetFormatPr baseColWidth="10" defaultColWidth="8.7265625" defaultRowHeight="14.5"/>
  <cols>
    <col width="18" customWidth="1" style="520" min="1" max="14"/>
  </cols>
  <sheetData>
    <row r="1" ht="21" customHeight="1" s="520">
      <c r="A1" s="503" t="inlineStr">
        <is>
          <t>TABLEAU DE BORD - AFFAIRES</t>
        </is>
      </c>
    </row>
    <row r="2"/>
    <row r="3">
      <c r="A3" s="477" t="inlineStr">
        <is>
          <t>KPI (Affaires Actives)</t>
        </is>
      </c>
    </row>
    <row r="4">
      <c r="A4" t="inlineStr">
        <is>
          <t>Nb affaires actives</t>
        </is>
      </c>
      <c r="B4">
        <f>COUNTIFS(tblAffaires[Statut],"Actif",tblAffaires[Nom affaire],"&lt;&gt;")</f>
        <v/>
      </c>
    </row>
    <row r="5">
      <c r="A5" t="inlineStr">
        <is>
          <t>CA total CHF</t>
        </is>
      </c>
      <c r="B5" s="476">
        <f>SUMIFS(tblAffaires[Montant CHF],tblAffaires[Statut],"Actif")</f>
        <v/>
      </c>
    </row>
    <row r="6">
      <c r="A6" t="inlineStr">
        <is>
          <t>MB total CHF</t>
        </is>
      </c>
      <c r="B6" s="476">
        <f>SUMIFS(tblAffaires[MB CHF],tblAffaires[Statut],"Actif")</f>
        <v/>
      </c>
    </row>
    <row r="7">
      <c r="A7" t="inlineStr">
        <is>
          <t>CA pondere CHF</t>
        </is>
      </c>
      <c r="B7" s="476">
        <f>SUMIFS(tblAffaires[CA pondere CHF],tblAffaires[Statut],"Actif")</f>
        <v/>
      </c>
    </row>
    <row r="8">
      <c r="A8" t="inlineStr">
        <is>
          <t>MB ponderee CHF</t>
        </is>
      </c>
      <c r="B8" s="476">
        <f>SUMIFS(tblAffaires[MB ponderee CHF],tblAffaires[Statut],"Actif")</f>
        <v/>
      </c>
    </row>
    <row r="9"/>
    <row r="10">
      <c r="A10" s="477" t="inlineStr">
        <is>
          <t>CA et MB par annee</t>
        </is>
      </c>
      <c r="G10" s="477" t="inlineStr">
        <is>
          <t>CA par type d'adjudication</t>
        </is>
      </c>
      <c r="J10" s="477" t="inlineStr">
        <is>
          <t>CA par categorie d'ouvrage</t>
        </is>
      </c>
    </row>
    <row r="11">
      <c r="A11" t="inlineStr">
        <is>
          <t>Annee</t>
        </is>
      </c>
      <c r="B11" t="inlineStr">
        <is>
          <t>CA CHF</t>
        </is>
      </c>
      <c r="C11" t="inlineStr">
        <is>
          <t>MB CHF</t>
        </is>
      </c>
      <c r="D11" t="inlineStr">
        <is>
          <t>CA pondere</t>
        </is>
      </c>
      <c r="E11" t="inlineStr">
        <is>
          <t>MB ponderee</t>
        </is>
      </c>
      <c r="G11" t="inlineStr">
        <is>
          <t>Type</t>
        </is>
      </c>
      <c r="H11" t="inlineStr">
        <is>
          <t>CA CHF</t>
        </is>
      </c>
      <c r="J11" t="inlineStr">
        <is>
          <t>Categorie</t>
        </is>
      </c>
      <c r="K11" t="inlineStr">
        <is>
          <t>CA CHF</t>
        </is>
      </c>
    </row>
    <row r="12">
      <c r="A12" t="n">
        <v>2024</v>
      </c>
      <c r="B12" s="476">
        <f>SUMIFS(tblAffaires[Montant CHF],tblAffaires[Statut],"Actif",tblAffaires[Annee],A12)</f>
        <v/>
      </c>
      <c r="C12" s="476">
        <f>SUMIFS(tblAffaires[MB CHF],tblAffaires[Statut],"Actif",tblAffaires[Annee],A12)</f>
        <v/>
      </c>
      <c r="D12" s="476">
        <f>SUMIFS(tblAffaires[CA pondere CHF],tblAffaires[Statut],"Actif",tblAffaires[Annee],A12)</f>
        <v/>
      </c>
      <c r="E12" s="476">
        <f>SUMIFS(tblAffaires[MB ponderee CHF],tblAffaires[Statut],"Actif",tblAffaires[Annee],A12)</f>
        <v/>
      </c>
      <c r="G12" t="inlineStr">
        <is>
          <t>Soumission</t>
        </is>
      </c>
      <c r="H12" s="476">
        <f>SUMIFS(tblAffaires[Montant CHF],tblAffaires[Statut],"Actif",tblAffaires[Type adjudication],G12)</f>
        <v/>
      </c>
      <c r="J12" t="inlineStr">
        <is>
          <t>Jardin prive</t>
        </is>
      </c>
      <c r="K12" s="476">
        <f>SUMIFS(tblAffaires[Montant CHF],tblAffaires[Statut],"Actif",tblAffaires[Categorie ouvrage],J12)</f>
        <v/>
      </c>
    </row>
    <row r="13">
      <c r="A13" t="n">
        <v>2025</v>
      </c>
      <c r="B13" s="476">
        <f>SUMIFS(tblAffaires[Montant CHF],tblAffaires[Statut],"Actif",tblAffaires[Annee],A13)</f>
        <v/>
      </c>
      <c r="C13" s="476">
        <f>SUMIFS(tblAffaires[MB CHF],tblAffaires[Statut],"Actif",tblAffaires[Annee],A13)</f>
        <v/>
      </c>
      <c r="D13" s="476">
        <f>SUMIFS(tblAffaires[CA pondere CHF],tblAffaires[Statut],"Actif",tblAffaires[Annee],A13)</f>
        <v/>
      </c>
      <c r="E13" s="476">
        <f>SUMIFS(tblAffaires[MB ponderee CHF],tblAffaires[Statut],"Actif",tblAffaires[Annee],A13)</f>
        <v/>
      </c>
      <c r="G13" t="inlineStr">
        <is>
          <t>devis de gre a gres</t>
        </is>
      </c>
      <c r="H13" s="476">
        <f>SUMIFS(tblAffaires[Montant CHF],tblAffaires[Statut],"Actif",tblAffaires[Type adjudication],G13)</f>
        <v/>
      </c>
      <c r="J13" t="inlineStr">
        <is>
          <t>Logement collectif</t>
        </is>
      </c>
      <c r="K13" s="476">
        <f>SUMIFS(tblAffaires[Montant CHF],tblAffaires[Statut],"Actif",tblAffaires[Categorie ouvrage],J13)</f>
        <v/>
      </c>
    </row>
    <row r="14">
      <c r="A14" t="n">
        <v>2026</v>
      </c>
      <c r="B14" s="476">
        <f>SUMIFS(tblAffaires[Montant CHF],tblAffaires[Statut],"Actif",tblAffaires[Annee],A14)</f>
        <v/>
      </c>
      <c r="C14" s="476">
        <f>SUMIFS(tblAffaires[MB CHF],tblAffaires[Statut],"Actif",tblAffaires[Annee],A14)</f>
        <v/>
      </c>
      <c r="D14" s="476">
        <f>SUMIFS(tblAffaires[CA pondere CHF],tblAffaires[Statut],"Actif",tblAffaires[Annee],A14)</f>
        <v/>
      </c>
      <c r="E14" s="476">
        <f>SUMIFS(tblAffaires[MB ponderee CHF],tblAffaires[Statut],"Actif",tblAffaires[Annee],A14)</f>
        <v/>
      </c>
      <c r="G14" t="inlineStr">
        <is>
          <t>devis mis en concurrence</t>
        </is>
      </c>
      <c r="H14" s="476">
        <f>SUMIFS(tblAffaires[Montant CHF],tblAffaires[Statut],"Actif",tblAffaires[Type adjudication],G14)</f>
        <v/>
      </c>
      <c r="J14" t="inlineStr">
        <is>
          <t>Espace public</t>
        </is>
      </c>
      <c r="K14" s="476">
        <f>SUMIFS(tblAffaires[Montant CHF],tblAffaires[Statut],"Actif",tblAffaires[Categorie ouvrage],J14)</f>
        <v/>
      </c>
    </row>
    <row r="15">
      <c r="A15" t="n">
        <v>2027</v>
      </c>
      <c r="B15" s="476">
        <f>SUMIFS(tblAffaires[Montant CHF],tblAffaires[Statut],"Actif",tblAffaires[Annee],A15)</f>
        <v/>
      </c>
      <c r="C15" s="476">
        <f>SUMIFS(tblAffaires[MB CHF],tblAffaires[Statut],"Actif",tblAffaires[Annee],A15)</f>
        <v/>
      </c>
      <c r="D15" s="476">
        <f>SUMIFS(tblAffaires[CA pondere CHF],tblAffaires[Statut],"Actif",tblAffaires[Annee],A15)</f>
        <v/>
      </c>
      <c r="E15" s="476">
        <f>SUMIFS(tblAffaires[MB ponderee CHF],tblAffaires[Statut],"Actif",tblAffaires[Annee],A15)</f>
        <v/>
      </c>
      <c r="G15" t="inlineStr">
        <is>
          <t>devis concours etude</t>
        </is>
      </c>
      <c r="H15" s="476">
        <f>SUMIFS(tblAffaires[Montant CHF],tblAffaires[Statut],"Actif",tblAffaires[Type adjudication],G15)</f>
        <v/>
      </c>
      <c r="J15" t="inlineStr">
        <is>
          <t>Bureau-Entreprise</t>
        </is>
      </c>
      <c r="K15" s="476">
        <f>SUMIFS(tblAffaires[Montant CHF],tblAffaires[Statut],"Actif",tblAffaires[Categorie ouvrage],J15)</f>
        <v/>
      </c>
    </row>
    <row r="16">
      <c r="A16" t="n">
        <v>2028</v>
      </c>
      <c r="B16" s="476">
        <f>SUMIFS(tblAffaires[Montant CHF],tblAffaires[Statut],"Actif",tblAffaires[Annee],A16)</f>
        <v/>
      </c>
      <c r="C16" s="476">
        <f>SUMIFS(tblAffaires[MB CHF],tblAffaires[Statut],"Actif",tblAffaires[Annee],A16)</f>
        <v/>
      </c>
      <c r="D16" s="476">
        <f>SUMIFS(tblAffaires[CA pondere CHF],tblAffaires[Statut],"Actif",tblAffaires[Annee],A16)</f>
        <v/>
      </c>
      <c r="E16" s="476">
        <f>SUMIFS(tblAffaires[MB ponderee CHF],tblAffaires[Statut],"Actif",tblAffaires[Annee],A16)</f>
        <v/>
      </c>
      <c r="G16" t="inlineStr">
        <is>
          <t>Plan de charge</t>
        </is>
      </c>
      <c r="H16" s="476">
        <f>SUMIFS(tblAffaires[Montant CHF],tblAffaires[Statut],"Actif",tblAffaires[Type adjudication],G16)</f>
        <v/>
      </c>
      <c r="J16" t="inlineStr">
        <is>
          <t>Organisation Internationale</t>
        </is>
      </c>
      <c r="K16" s="476">
        <f>SUMIFS(tblAffaires[Montant CHF],tblAffaires[Statut],"Actif",tblAffaires[Categorie ouvrage],J16)</f>
        <v/>
      </c>
    </row>
    <row r="17">
      <c r="A17" t="n">
        <v>2029</v>
      </c>
      <c r="B17" s="476">
        <f>SUMIFS(tblAffaires[Montant CHF],tblAffaires[Statut],"Actif",tblAffaires[Annee],A17)</f>
        <v/>
      </c>
      <c r="C17" s="476">
        <f>SUMIFS(tblAffaires[MB CHF],tblAffaires[Statut],"Actif",tblAffaires[Annee],A17)</f>
        <v/>
      </c>
      <c r="D17" s="476">
        <f>SUMIFS(tblAffaires[CA pondere CHF],tblAffaires[Statut],"Actif",tblAffaires[Annee],A17)</f>
        <v/>
      </c>
      <c r="E17" s="476">
        <f>SUMIFS(tblAffaires[MB ponderee CHF],tblAffaires[Statut],"Actif",tblAffaires[Annee],A17)</f>
        <v/>
      </c>
      <c r="H17" s="476" t="n"/>
      <c r="J17" t="inlineStr">
        <is>
          <t>Autre</t>
        </is>
      </c>
      <c r="K17" s="476">
        <f>SUMIFS(tblAffaires[Montant CHF],tblAffaires[Statut],"Actif",tblAffaires[Categorie ouvrage],J17)</f>
        <v/>
      </c>
    </row>
    <row r="18">
      <c r="A18" t="n">
        <v>2030</v>
      </c>
      <c r="B18" s="476">
        <f>SUMIFS(tblAffaires[Montant CHF],tblAffaires[Statut],"Actif",tblAffaires[Annee],A18)</f>
        <v/>
      </c>
      <c r="C18" s="476">
        <f>SUMIFS(tblAffaires[MB CHF],tblAffaires[Statut],"Actif",tblAffaires[Annee],A18)</f>
        <v/>
      </c>
      <c r="D18" s="476">
        <f>SUMIFS(tblAffaires[CA pondere CHF],tblAffaires[Statut],"Actif",tblAffaires[Annee],A18)</f>
        <v/>
      </c>
      <c r="E18" s="476">
        <f>SUMIFS(tblAffaires[MB ponderee CHF],tblAffaires[Statut],"Actif",tblAffaires[Annee],A18)</f>
        <v/>
      </c>
      <c r="H18" s="476" t="n"/>
      <c r="K18" s="476" t="n"/>
    </row>
    <row r="19">
      <c r="A19" t="n">
        <v>2031</v>
      </c>
      <c r="B19" s="476">
        <f>SUMIFS(tblAffaires[Montant CHF],tblAffaires[Statut],"Actif",tblAffaires[Annee],A19)</f>
        <v/>
      </c>
      <c r="C19" s="476">
        <f>SUMIFS(tblAffaires[MB CHF],tblAffaires[Statut],"Actif",tblAffaires[Annee],A19)</f>
        <v/>
      </c>
      <c r="D19" s="476">
        <f>SUMIFS(tblAffaires[CA pondere CHF],tblAffaires[Statut],"Actif",tblAffaires[Annee],A19)</f>
        <v/>
      </c>
      <c r="E19" s="476">
        <f>SUMIFS(tblAffaires[MB ponderee CHF],tblAffaires[Statut],"Actif",tblAffaires[Annee],A19)</f>
        <v/>
      </c>
      <c r="H19" s="476" t="n"/>
      <c r="K19" s="476" t="n"/>
    </row>
    <row r="20">
      <c r="A20" t="n">
        <v>2032</v>
      </c>
      <c r="B20" s="476">
        <f>SUMIFS(tblAffaires[Montant CHF],tblAffaires[Statut],"Actif",tblAffaires[Annee],A20)</f>
        <v/>
      </c>
      <c r="C20" s="476">
        <f>SUMIFS(tblAffaires[MB CHF],tblAffaires[Statut],"Actif",tblAffaires[Annee],A20)</f>
        <v/>
      </c>
      <c r="D20" s="476">
        <f>SUMIFS(tblAffaires[CA pondere CHF],tblAffaires[Statut],"Actif",tblAffaires[Annee],A20)</f>
        <v/>
      </c>
      <c r="E20" s="476">
        <f>SUMIFS(tblAffaires[MB ponderee CHF],tblAffaires[Statut],"Actif",tblAffaires[Annee],A20)</f>
        <v/>
      </c>
      <c r="H20" s="476" t="n"/>
      <c r="K20" s="476" t="n"/>
    </row>
    <row r="21">
      <c r="B21" s="476" t="n"/>
      <c r="C21" s="476" t="n"/>
      <c r="D21" s="476" t="n"/>
      <c r="E21" s="476" t="n"/>
      <c r="H21" s="476" t="n"/>
      <c r="K21" s="476" t="n"/>
    </row>
    <row r="22">
      <c r="B22" s="476" t="n"/>
      <c r="C22" s="476" t="n"/>
      <c r="D22" s="476" t="n"/>
      <c r="E22" s="476" t="n"/>
      <c r="H22" s="476" t="n"/>
      <c r="K22" s="476" t="n"/>
    </row>
    <row r="23">
      <c r="B23" s="476" t="n"/>
      <c r="C23" s="476" t="n"/>
      <c r="D23" s="476" t="n"/>
      <c r="E23" s="476" t="n"/>
      <c r="H23" s="476" t="n"/>
      <c r="K23" s="476" t="n"/>
    </row>
    <row r="24">
      <c r="B24" s="476" t="n"/>
      <c r="C24" s="476" t="n"/>
      <c r="D24" s="476" t="n"/>
      <c r="E24" s="476" t="n"/>
      <c r="H24" s="476" t="n"/>
      <c r="K24" s="476" t="n"/>
    </row>
    <row r="25">
      <c r="B25" s="476" t="n"/>
      <c r="C25" s="476" t="n"/>
      <c r="D25" s="476" t="n"/>
      <c r="E25" s="476" t="n"/>
      <c r="H25" s="476" t="n"/>
      <c r="K25" s="476" t="n"/>
    </row>
    <row r="26">
      <c r="B26" s="476" t="n"/>
      <c r="C26" s="476" t="n"/>
      <c r="D26" s="476" t="n"/>
      <c r="E26" s="476" t="n"/>
      <c r="H26" s="476" t="n"/>
      <c r="K26" s="476" t="n"/>
    </row>
    <row r="27">
      <c r="B27" s="476" t="n"/>
      <c r="C27" s="476" t="n"/>
      <c r="D27" s="476" t="n"/>
      <c r="E27" s="476" t="n"/>
      <c r="H27" s="476" t="n"/>
      <c r="K27" s="476" t="n"/>
    </row>
    <row r="28">
      <c r="B28" s="476" t="n"/>
      <c r="C28" s="476" t="n"/>
      <c r="D28" s="476" t="n"/>
      <c r="E28" s="476" t="n"/>
      <c r="H28" s="476" t="n"/>
      <c r="K28" s="476" t="n"/>
    </row>
    <row r="29">
      <c r="B29" s="476" t="n"/>
      <c r="C29" s="476" t="n"/>
      <c r="D29" s="476" t="n"/>
      <c r="E29" s="476" t="n"/>
      <c r="H29" s="476" t="n"/>
      <c r="K29" s="476" t="n"/>
    </row>
    <row r="30">
      <c r="B30" s="476" t="n"/>
      <c r="C30" s="476" t="n"/>
      <c r="D30" s="476" t="n"/>
      <c r="E30" s="476" t="n"/>
      <c r="H30" s="476" t="n"/>
      <c r="K30" s="476" t="n"/>
    </row>
    <row r="31">
      <c r="B31" s="476" t="n"/>
      <c r="C31" s="476" t="n"/>
      <c r="D31" s="476" t="n"/>
      <c r="E31" s="476" t="n"/>
      <c r="H31" s="476" t="n"/>
      <c r="K31" s="476" t="n"/>
    </row>
    <row r="32">
      <c r="B32" s="476" t="n"/>
      <c r="C32" s="476" t="n"/>
      <c r="D32" s="476" t="n"/>
      <c r="E32" s="476" t="n"/>
      <c r="H32" s="476" t="n"/>
      <c r="K32" s="476" t="n"/>
    </row>
    <row r="33">
      <c r="B33" s="476" t="n"/>
      <c r="C33" s="476" t="n"/>
      <c r="D33" s="476" t="n"/>
      <c r="E33" s="476" t="n"/>
      <c r="H33" s="476" t="n"/>
      <c r="K33" s="476" t="n"/>
    </row>
    <row r="34">
      <c r="B34" s="476" t="n"/>
      <c r="C34" s="476" t="n"/>
      <c r="D34" s="476" t="n"/>
      <c r="E34" s="476" t="n"/>
      <c r="H34" s="476" t="n"/>
      <c r="K34" s="476" t="n"/>
    </row>
    <row r="35">
      <c r="B35" s="476" t="n"/>
      <c r="C35" s="476" t="n"/>
      <c r="D35" s="476" t="n"/>
      <c r="E35" s="476" t="n"/>
      <c r="H35" s="476" t="n"/>
      <c r="K35" s="476" t="n"/>
    </row>
    <row r="36">
      <c r="B36" s="476" t="n"/>
      <c r="C36" s="476" t="n"/>
      <c r="D36" s="476" t="n"/>
      <c r="E36" s="476" t="n"/>
      <c r="H36" s="476" t="n"/>
      <c r="K36" s="476" t="n"/>
    </row>
    <row r="37">
      <c r="B37" s="476" t="n"/>
      <c r="C37" s="476" t="n"/>
      <c r="D37" s="476" t="n"/>
      <c r="E37" s="476" t="n"/>
      <c r="H37" s="476" t="n"/>
      <c r="K37" s="476" t="n"/>
    </row>
    <row r="38">
      <c r="B38" s="476" t="n"/>
      <c r="C38" s="476" t="n"/>
      <c r="D38" s="476" t="n"/>
      <c r="E38" s="476" t="n"/>
      <c r="H38" s="476" t="n"/>
      <c r="K38" s="476" t="n"/>
    </row>
    <row r="39">
      <c r="B39" s="476" t="n"/>
      <c r="C39" s="476" t="n"/>
      <c r="D39" s="476" t="n"/>
      <c r="E39" s="476" t="n"/>
      <c r="H39" s="476" t="n"/>
      <c r="K39" s="47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8A"/>
  <mergeCells count="1">
    <mergeCell ref="A1:N1"/>
  </mergeCells>
  <pageMargins left="0.3" right="0.3" top="0.4" bottom="0.4" header="0.2" footer="0.2"/>
  <pageSetup orientation="landscape" paperSize="9" scale="56"/>
  <headerFooter>
    <oddHeader>&amp;C&amp;"Calibri,Bold"&amp;12 &amp;"Calibri,Bold"&amp;12 Reporting AFFAIRES</oddHeader>
    <oddFooter>&amp;L&amp;D &amp;T&amp;RPage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Feuil1">
    <outlinePr summaryBelow="1" summaryRight="1"/>
    <pageSetUpPr fitToPage="1"/>
  </sheetPr>
  <dimension ref="A1:BC203"/>
  <sheetViews>
    <sheetView tabSelected="1" zoomScale="85" zoomScaleNormal="85" zoomScaleSheetLayoutView="115" workbookViewId="0">
      <selection activeCell="A1" sqref="A1:L2"/>
    </sheetView>
  </sheetViews>
  <sheetFormatPr baseColWidth="10" defaultColWidth="11.36328125" defaultRowHeight="14.5"/>
  <cols>
    <col width="39.1796875" customWidth="1" style="514" min="1" max="1"/>
    <col hidden="1" width="14.7265625" customWidth="1" style="514" min="2" max="2"/>
    <col hidden="1" width="12.54296875" customWidth="1" style="514" min="3" max="4"/>
    <col width="14.7265625" customWidth="1" style="508" min="5" max="5"/>
    <col width="7.7265625" customWidth="1" style="514" min="6" max="6"/>
    <col width="16" customWidth="1" style="514" min="7" max="7"/>
    <col width="16.7265625" customWidth="1" style="514" min="8" max="8"/>
    <col width="17.54296875" customWidth="1" style="514" min="9" max="10"/>
    <col width="4.54296875" customWidth="1" style="514" min="11" max="11"/>
    <col width="13.7265625" customWidth="1" style="514" min="12" max="13"/>
    <col width="14.81640625" bestFit="1" customWidth="1" style="215" min="14" max="14"/>
    <col width="27" customWidth="1" style="514" min="15" max="15"/>
    <col width="17.54296875" customWidth="1" style="9" min="16" max="16"/>
    <col width="12" customWidth="1" style="89" min="17" max="18"/>
    <col width="10.7265625" customWidth="1" style="89" min="19" max="22"/>
    <col width="8.1796875" customWidth="1" style="89" min="23" max="23"/>
    <col width="15.7265625" customWidth="1" style="514" min="24" max="27"/>
    <col width="16.7265625" customWidth="1" style="514" min="28" max="28"/>
    <col width="22.1796875" customWidth="1" style="514" min="29" max="29"/>
    <col width="15.7265625" customWidth="1" style="514" min="30" max="35"/>
    <col hidden="1" width="15.26953125" customWidth="1" style="514" min="36" max="36"/>
    <col width="12.81640625" bestFit="1" customWidth="1" style="514" min="37" max="37"/>
    <col width="11.36328125" customWidth="1" style="514" min="38" max="38"/>
    <col width="11.54296875" bestFit="1" customWidth="1" style="514" min="39" max="39"/>
    <col width="12.54296875" bestFit="1" customWidth="1" style="514" min="40" max="41"/>
    <col width="11.7265625" bestFit="1" customWidth="1" style="514" min="42" max="42"/>
    <col width="13.54296875" bestFit="1" customWidth="1" style="514" min="43" max="43"/>
    <col width="13.1796875" bestFit="1" customWidth="1" style="514" min="44" max="44"/>
    <col width="14.26953125" bestFit="1" customWidth="1" style="514" min="45" max="45"/>
    <col width="12.54296875" bestFit="1" customWidth="1" style="514" min="46" max="46"/>
    <col width="13.1796875" bestFit="1" customWidth="1" style="514" min="47" max="48"/>
    <col width="12.54296875" bestFit="1" customWidth="1" style="514" min="49" max="49"/>
    <col width="13.81640625" bestFit="1" customWidth="1" style="514" min="50" max="50"/>
    <col width="13.7265625" bestFit="1" customWidth="1" style="514" min="51" max="51"/>
    <col width="12.54296875" bestFit="1" customWidth="1" style="514" min="52" max="52"/>
    <col width="11.36328125" customWidth="1" style="514" min="53" max="56"/>
    <col width="11.36328125" customWidth="1" style="514" min="57" max="16384"/>
  </cols>
  <sheetData>
    <row r="1" ht="30" customFormat="1" customHeight="1" s="508">
      <c r="A1" s="515" t="inlineStr">
        <is>
          <t>PLAN DE CHARGE  AFFAIRES EN COURS + ADJUDICATIONS au 30/12/2025</t>
        </is>
      </c>
      <c r="B1" s="516" t="n"/>
      <c r="C1" s="516" t="n"/>
      <c r="D1" s="516" t="n"/>
      <c r="E1" s="516" t="n"/>
      <c r="F1" s="516" t="n"/>
      <c r="G1" s="516" t="n"/>
      <c r="H1" s="516" t="n"/>
      <c r="I1" s="516" t="n"/>
      <c r="J1" s="214" t="n"/>
      <c r="K1" s="214" t="n"/>
      <c r="L1" s="236" t="inlineStr">
        <is>
          <t>Forecast MB 2025</t>
        </is>
      </c>
      <c r="M1" s="236" t="inlineStr">
        <is>
          <t>Forecast MB  2026</t>
        </is>
      </c>
      <c r="N1" s="312" t="inlineStr">
        <is>
          <t>DPS = TITRE</t>
        </is>
      </c>
      <c r="O1" s="103" t="inlineStr">
        <is>
          <t>&lt;</t>
        </is>
      </c>
      <c r="P1" s="483" t="n"/>
      <c r="Q1" s="484" t="n"/>
      <c r="R1" s="485" t="n"/>
      <c r="S1" s="103" t="inlineStr">
        <is>
          <t>PLANNING</t>
        </is>
      </c>
      <c r="T1" s="104" t="n"/>
      <c r="U1" s="104" t="n"/>
      <c r="V1" s="105" t="n"/>
      <c r="W1" s="97" t="n"/>
      <c r="X1" s="504" t="inlineStr">
        <is>
          <t>REPARTITION PAR TYPE D'ADUDICATION</t>
        </is>
      </c>
      <c r="Y1" s="505" t="n"/>
      <c r="Z1" s="505" t="n"/>
      <c r="AA1" s="506" t="n"/>
      <c r="AB1" s="73" t="n"/>
      <c r="AC1" s="75" t="n"/>
      <c r="AD1" s="504" t="inlineStr">
        <is>
          <t>REPARTITION PAR CATEGORIE D'OUVRAGE</t>
        </is>
      </c>
      <c r="AE1" s="505" t="n"/>
      <c r="AF1" s="505" t="n"/>
      <c r="AG1" s="505" t="n"/>
      <c r="AH1" s="505" t="n"/>
      <c r="AI1" s="506" t="n"/>
    </row>
    <row r="2" ht="27" customFormat="1" customHeight="1" s="508" thickBot="1">
      <c r="A2" s="512" t="n"/>
      <c r="B2" s="42" t="n"/>
      <c r="C2" s="42" t="n"/>
      <c r="D2" s="42" t="n"/>
      <c r="E2" s="252" t="n"/>
      <c r="F2" s="42" t="n"/>
      <c r="G2" s="42" t="n"/>
      <c r="H2" s="43" t="n"/>
      <c r="I2" s="49" t="n"/>
      <c r="J2" s="49" t="n"/>
      <c r="K2" s="214" t="n"/>
      <c r="L2" s="556">
        <f>((SUM(L4:L157)-L52-L37-L65-L130-L157-L50))/H203</f>
        <v/>
      </c>
      <c r="M2" s="556">
        <f>((SUM(M4:M157)-M52-M37-M65-M130-M157-M50))/I203</f>
        <v/>
      </c>
      <c r="N2" s="486" t="inlineStr">
        <is>
          <t xml:space="preserve">Merci de ne pas changer la formule stp </t>
        </is>
      </c>
      <c r="O2" s="197" t="inlineStr">
        <is>
          <t>Date d'adjudication</t>
        </is>
      </c>
      <c r="P2" s="198" t="inlineStr">
        <is>
          <t xml:space="preserve">Prob. reussite </t>
        </is>
      </c>
      <c r="Q2" s="199" t="inlineStr">
        <is>
          <t>taux de marge actuel</t>
        </is>
      </c>
      <c r="R2" s="242" t="inlineStr">
        <is>
          <t>MB etude</t>
        </is>
      </c>
      <c r="S2" s="194" t="inlineStr">
        <is>
          <t xml:space="preserve">Debut </t>
        </is>
      </c>
      <c r="T2" s="195" t="inlineStr">
        <is>
          <t>Arret</t>
        </is>
      </c>
      <c r="U2" s="195" t="inlineStr">
        <is>
          <t xml:space="preserve">Arret </t>
        </is>
      </c>
      <c r="V2" s="196" t="inlineStr">
        <is>
          <t>Fin</t>
        </is>
      </c>
      <c r="W2" s="97" t="inlineStr">
        <is>
          <t>PART ENTRETIEN</t>
        </is>
      </c>
      <c r="X2" s="56" t="n"/>
      <c r="Y2" s="57" t="n"/>
      <c r="Z2" s="57" t="n"/>
      <c r="AA2" s="58" t="n"/>
      <c r="AB2" s="73" t="n"/>
      <c r="AC2" s="75" t="n"/>
      <c r="AD2" s="56" t="n"/>
      <c r="AE2" s="57" t="n"/>
      <c r="AF2" s="57" t="n"/>
      <c r="AG2" s="57" t="n"/>
      <c r="AH2" s="57" t="n"/>
      <c r="AI2" s="58" t="n"/>
    </row>
    <row r="3" ht="26" customFormat="1" customHeight="1" s="508">
      <c r="A3" s="44" t="inlineStr">
        <is>
          <t>Nom du chantier</t>
        </is>
      </c>
      <c r="B3" s="45" t="inlineStr">
        <is>
          <t>Maçonnerie</t>
        </is>
      </c>
      <c r="C3" s="45" t="inlineStr">
        <is>
          <t>Jardinage</t>
        </is>
      </c>
      <c r="D3" s="45" t="inlineStr">
        <is>
          <t>Entretien</t>
        </is>
      </c>
      <c r="E3" s="137" t="inlineStr">
        <is>
          <t>CODE</t>
        </is>
      </c>
      <c r="F3" s="138" t="n"/>
      <c r="G3" s="139" t="inlineStr">
        <is>
          <t xml:space="preserve">Total restant </t>
        </is>
      </c>
      <c r="H3" s="47" t="inlineStr">
        <is>
          <t>Planning 2025</t>
        </is>
      </c>
      <c r="I3" s="48" t="inlineStr">
        <is>
          <t>planning 2026</t>
        </is>
      </c>
      <c r="J3" s="48" t="inlineStr">
        <is>
          <t>planning 2027</t>
        </is>
      </c>
      <c r="K3" s="101" t="n"/>
      <c r="L3" s="101" t="inlineStr">
        <is>
          <t>Budget 20%</t>
        </is>
      </c>
      <c r="M3" s="101" t="n"/>
      <c r="N3" s="215" t="n"/>
      <c r="O3" s="169" t="n"/>
      <c r="P3" s="170" t="n"/>
      <c r="Q3" s="171" t="n"/>
      <c r="R3" s="98" t="n"/>
      <c r="S3" s="152" t="n"/>
      <c r="T3" s="147" t="n"/>
      <c r="U3" s="147" t="n"/>
      <c r="V3" s="153" t="n"/>
      <c r="W3" s="98" t="n"/>
      <c r="X3" s="141" t="inlineStr">
        <is>
          <t>SOUMISSION</t>
        </is>
      </c>
      <c r="Y3" s="142" t="inlineStr">
        <is>
          <t>DEVIS Gré à gré</t>
        </is>
      </c>
      <c r="Z3" s="142" t="inlineStr">
        <is>
          <t xml:space="preserve">DEVIS Mis en conccurence </t>
        </is>
      </c>
      <c r="AA3" s="143" t="inlineStr">
        <is>
          <t>DEVIS Concours d'étude</t>
        </is>
      </c>
      <c r="AB3" s="74" t="n"/>
      <c r="AC3" s="53" t="n"/>
      <c r="AD3" s="292" t="inlineStr">
        <is>
          <t>JARDIN PRIVE</t>
        </is>
      </c>
      <c r="AE3" s="293" t="inlineStr">
        <is>
          <t>LOGEMENTS COLLECTIFS</t>
        </is>
      </c>
      <c r="AF3" s="293" t="inlineStr">
        <is>
          <t>ESPACE PUBLIC</t>
        </is>
      </c>
      <c r="AG3" s="293" t="inlineStr">
        <is>
          <t>BUREAUX/ ENTREPRISES</t>
        </is>
      </c>
      <c r="AH3" s="293" t="inlineStr">
        <is>
          <t>ORG. INTERNATIONAUX</t>
        </is>
      </c>
      <c r="AI3" s="294" t="inlineStr">
        <is>
          <t>AUTRES</t>
        </is>
      </c>
      <c r="AQ3" s="217" t="n">
        <v>45292</v>
      </c>
      <c r="AR3" s="217" t="n">
        <v>45323</v>
      </c>
      <c r="AS3" s="217" t="n">
        <v>45352</v>
      </c>
      <c r="AT3" s="217" t="n">
        <v>45383</v>
      </c>
      <c r="AU3" s="217" t="n">
        <v>45413</v>
      </c>
      <c r="AV3" s="217" t="n">
        <v>45444</v>
      </c>
      <c r="AW3" s="217" t="n">
        <v>45474</v>
      </c>
      <c r="AX3" s="217" t="n">
        <v>45505</v>
      </c>
      <c r="AY3" s="217" t="n">
        <v>45536</v>
      </c>
      <c r="AZ3" s="217" t="n">
        <v>45566</v>
      </c>
      <c r="BA3" s="217" t="n">
        <v>45597</v>
      </c>
      <c r="BB3" s="217" t="n">
        <v>45627</v>
      </c>
    </row>
    <row r="4" ht="15" customHeight="1" s="520">
      <c r="A4" s="113" t="inlineStr">
        <is>
          <t xml:space="preserve">CHÂTEAU </t>
        </is>
      </c>
      <c r="E4" s="508" t="inlineStr">
        <is>
          <t>XXXXX</t>
        </is>
      </c>
      <c r="F4" s="487" t="n"/>
      <c r="G4" s="382" t="n">
        <v>1262590</v>
      </c>
      <c r="H4" s="385" t="n">
        <v>40000</v>
      </c>
      <c r="I4" s="384">
        <f>+G4-H4</f>
        <v/>
      </c>
      <c r="J4" s="488" t="n"/>
      <c r="K4" s="489" t="inlineStr">
        <is>
          <t>*</t>
        </is>
      </c>
      <c r="L4" s="115">
        <f>H4*Q4</f>
        <v/>
      </c>
      <c r="M4" s="115">
        <f>I4*Q4</f>
        <v/>
      </c>
      <c r="N4" s="227">
        <f>+H4*Q4</f>
        <v/>
      </c>
      <c r="O4" s="490" t="n"/>
      <c r="P4" s="277" t="n">
        <v>1</v>
      </c>
      <c r="Q4" s="557" t="n">
        <v>0.17</v>
      </c>
      <c r="R4" s="558" t="n">
        <v>0.175</v>
      </c>
      <c r="S4" s="154" t="n">
        <v>45931</v>
      </c>
      <c r="T4" s="559" t="n"/>
      <c r="U4" s="100" t="n"/>
      <c r="V4" s="163" t="n">
        <v>46327</v>
      </c>
      <c r="W4" s="100" t="n"/>
      <c r="X4" s="560">
        <f>G4</f>
        <v/>
      </c>
      <c r="Y4" s="69" t="n"/>
      <c r="Z4" s="69" t="n"/>
      <c r="AA4" s="301" t="n"/>
      <c r="AB4" s="69" t="n"/>
      <c r="AC4" s="69" t="n"/>
      <c r="AD4" s="561">
        <f>G4</f>
        <v/>
      </c>
      <c r="AE4" s="562" t="n"/>
      <c r="AF4" s="562" t="n"/>
      <c r="AG4" s="562" t="n"/>
      <c r="AH4" s="562" t="n"/>
      <c r="AI4" s="563" t="n"/>
      <c r="AJ4" s="69" t="n"/>
    </row>
    <row r="5" ht="15" customHeight="1" s="520">
      <c r="A5" s="113" t="inlineStr">
        <is>
          <t xml:space="preserve"> école de </t>
        </is>
      </c>
      <c r="E5" s="508" t="inlineStr">
        <is>
          <t>YYYYY</t>
        </is>
      </c>
      <c r="F5" s="487" t="n"/>
      <c r="G5" s="348" t="n">
        <v>1278883.64</v>
      </c>
      <c r="H5" s="491" t="n"/>
      <c r="I5" s="228">
        <f>+G5*0.5</f>
        <v/>
      </c>
      <c r="J5" s="271">
        <f>+I5</f>
        <v/>
      </c>
      <c r="K5" s="489" t="n"/>
      <c r="L5" s="115">
        <f>H5*Q5</f>
        <v/>
      </c>
      <c r="M5" s="115">
        <f>I5*Q5</f>
        <v/>
      </c>
      <c r="N5" s="227" t="n"/>
      <c r="O5" s="490" t="n"/>
      <c r="P5" s="277" t="n">
        <v>1</v>
      </c>
      <c r="Q5" s="557" t="n">
        <v>0.18</v>
      </c>
      <c r="R5" s="558" t="n"/>
      <c r="S5" s="154" t="n">
        <v>46204</v>
      </c>
      <c r="T5" s="559" t="n"/>
      <c r="U5" s="100" t="n"/>
      <c r="V5" s="163" t="n">
        <v>46692</v>
      </c>
      <c r="W5" s="100" t="n"/>
      <c r="X5" s="564">
        <f>G5</f>
        <v/>
      </c>
      <c r="Y5" s="69" t="n"/>
      <c r="Z5" s="69" t="n"/>
      <c r="AA5" s="69" t="n"/>
      <c r="AB5" s="69" t="n"/>
      <c r="AC5" s="69" t="n"/>
      <c r="AD5" s="562" t="n"/>
      <c r="AE5" s="562" t="n"/>
      <c r="AF5" s="562" t="n"/>
      <c r="AG5" s="562" t="n"/>
      <c r="AH5" s="562" t="n"/>
      <c r="AI5" s="562" t="n"/>
      <c r="AJ5" s="69" t="n"/>
    </row>
    <row r="6" ht="15" customHeight="1" s="520">
      <c r="A6" s="113" t="inlineStr">
        <is>
          <t xml:space="preserve">PARC DES </t>
        </is>
      </c>
      <c r="E6" s="200" t="inlineStr">
        <is>
          <t>ZZZZZZ</t>
        </is>
      </c>
      <c r="F6" s="99" t="n"/>
      <c r="G6" s="382" t="n">
        <v>779000</v>
      </c>
      <c r="H6" s="385" t="n">
        <v>80000</v>
      </c>
      <c r="I6" s="384">
        <f>+G6-H6</f>
        <v/>
      </c>
      <c r="J6" s="271" t="n"/>
      <c r="K6" s="115" t="n"/>
      <c r="L6" s="115">
        <f>H6*Q6</f>
        <v/>
      </c>
      <c r="M6" s="115">
        <f>I6*Q6</f>
        <v/>
      </c>
      <c r="N6" s="227">
        <f>+H6*Q6</f>
        <v/>
      </c>
      <c r="O6" s="172" t="n"/>
      <c r="P6" s="277" t="n">
        <v>1</v>
      </c>
      <c r="Q6" s="557" t="n">
        <v>0.19</v>
      </c>
      <c r="R6" s="331" t="n">
        <v>0.185</v>
      </c>
      <c r="S6" s="162" t="n">
        <v>45536</v>
      </c>
      <c r="T6" s="559" t="n"/>
      <c r="U6" s="100" t="n"/>
      <c r="V6" s="163" t="n"/>
      <c r="W6" s="100" t="n"/>
      <c r="X6" s="564">
        <f>G6</f>
        <v/>
      </c>
      <c r="Y6" s="182" t="n"/>
      <c r="Z6" s="182" t="n"/>
      <c r="AA6" s="182" t="n"/>
      <c r="AB6" s="182" t="n"/>
      <c r="AC6" s="182" t="n"/>
      <c r="AD6" s="182" t="n"/>
      <c r="AE6" s="182" t="n"/>
      <c r="AF6" s="564">
        <f>G6</f>
        <v/>
      </c>
      <c r="AG6" s="182" t="n"/>
      <c r="AH6" s="182" t="n"/>
      <c r="AI6" s="182" t="n"/>
      <c r="AJ6" s="69" t="n"/>
    </row>
    <row r="7" ht="15" customHeight="1" s="520">
      <c r="A7" s="113" t="n"/>
      <c r="E7" s="200" t="n"/>
      <c r="F7" s="99" t="n"/>
      <c r="G7" s="140" t="n"/>
      <c r="H7" s="228" t="n"/>
      <c r="I7" s="118" t="n"/>
      <c r="J7" s="52" t="n"/>
      <c r="K7" s="115" t="n"/>
      <c r="L7" s="115">
        <f>H7*Q7</f>
        <v/>
      </c>
      <c r="M7" s="115">
        <f>I7*Q7</f>
        <v/>
      </c>
      <c r="N7" s="227">
        <f>J7*Q7</f>
        <v/>
      </c>
      <c r="O7" s="347" t="inlineStr">
        <is>
          <t>en préparation classeur chantier</t>
        </is>
      </c>
      <c r="P7" s="277" t="n">
        <v>1</v>
      </c>
      <c r="Q7" s="557" t="n">
        <v>0.134</v>
      </c>
      <c r="R7" s="558" t="n">
        <v>0.113</v>
      </c>
      <c r="S7" s="162" t="n">
        <v>45962</v>
      </c>
      <c r="T7" s="100" t="n"/>
      <c r="U7" s="100" t="n"/>
      <c r="V7" s="163" t="n">
        <v>46174</v>
      </c>
      <c r="W7" s="100" t="n"/>
      <c r="X7" s="560" t="n"/>
      <c r="Y7" s="182" t="n"/>
      <c r="Z7" s="182" t="n"/>
      <c r="AA7" s="288" t="n"/>
      <c r="AB7" s="182" t="n"/>
      <c r="AC7" s="182" t="n"/>
      <c r="AD7" s="560" t="n"/>
      <c r="AE7" s="564" t="n"/>
      <c r="AF7" s="564" t="n"/>
      <c r="AG7" s="564" t="n"/>
      <c r="AH7" s="564" t="n"/>
      <c r="AI7" s="565" t="n"/>
      <c r="AJ7" s="69" t="n"/>
    </row>
    <row r="8" ht="15" customHeight="1" s="520">
      <c r="A8" s="113" t="n"/>
      <c r="E8" s="200" t="n"/>
      <c r="F8" s="99" t="n"/>
      <c r="G8" s="382" t="n"/>
      <c r="H8" s="385" t="n"/>
      <c r="I8" s="384" t="n"/>
      <c r="J8" s="271" t="n"/>
      <c r="K8" s="115" t="inlineStr">
        <is>
          <t>*</t>
        </is>
      </c>
      <c r="L8" s="115">
        <f>H8*Q8</f>
        <v/>
      </c>
      <c r="M8" s="115">
        <f>I8*Q8</f>
        <v/>
      </c>
      <c r="N8" s="227">
        <f>+H8*Q8</f>
        <v/>
      </c>
      <c r="O8" s="172" t="n"/>
      <c r="P8" s="277" t="n">
        <v>1</v>
      </c>
      <c r="Q8" s="566" t="n">
        <v>0.2</v>
      </c>
      <c r="R8" s="278" t="n"/>
      <c r="S8" s="162" t="n">
        <v>45901</v>
      </c>
      <c r="T8" s="559" t="n"/>
      <c r="U8" s="100" t="n"/>
      <c r="V8" s="163" t="n">
        <v>46539</v>
      </c>
      <c r="W8" s="100" t="n"/>
      <c r="X8" s="560">
        <f>G8</f>
        <v/>
      </c>
      <c r="Y8" s="69" t="n"/>
      <c r="Z8" s="69" t="n"/>
      <c r="AA8" s="301" t="n"/>
      <c r="AB8" s="69" t="n"/>
      <c r="AC8" s="69" t="n"/>
      <c r="AD8" s="561" t="n"/>
      <c r="AE8" s="562" t="n"/>
      <c r="AF8" s="567">
        <f>G8</f>
        <v/>
      </c>
      <c r="AG8" s="562" t="n"/>
      <c r="AH8" s="562" t="n"/>
      <c r="AI8" s="563" t="n"/>
      <c r="AJ8" s="69" t="n"/>
    </row>
    <row r="9" ht="15" customHeight="1" s="520">
      <c r="A9" s="113" t="n"/>
      <c r="E9" s="200" t="n"/>
      <c r="F9" s="99" t="n"/>
      <c r="G9" s="346" t="n"/>
      <c r="H9" s="140" t="n"/>
      <c r="I9" s="118" t="n"/>
      <c r="J9" s="271" t="n"/>
      <c r="K9" s="115" t="inlineStr">
        <is>
          <t>*</t>
        </is>
      </c>
      <c r="L9" s="115">
        <f>H9*Q9</f>
        <v/>
      </c>
      <c r="M9" s="115">
        <f>I9*Q9</f>
        <v/>
      </c>
      <c r="N9" s="227" t="n"/>
      <c r="O9" s="172" t="n"/>
      <c r="P9" s="277" t="n">
        <v>1</v>
      </c>
      <c r="Q9" s="568" t="n">
        <v>0.16</v>
      </c>
      <c r="R9" s="278" t="n"/>
      <c r="S9" s="162" t="n">
        <v>45945</v>
      </c>
      <c r="T9" s="559" t="n"/>
      <c r="U9" s="100" t="n"/>
      <c r="V9" s="163" t="n">
        <v>46174</v>
      </c>
      <c r="W9" s="100" t="n"/>
      <c r="X9" s="564">
        <f>G9</f>
        <v/>
      </c>
      <c r="Y9" s="69" t="n"/>
      <c r="Z9" s="69" t="n"/>
      <c r="AA9" s="69" t="n"/>
      <c r="AB9" s="69" t="n"/>
      <c r="AC9" s="69" t="n"/>
      <c r="AD9" s="562" t="n"/>
      <c r="AE9" s="562" t="n"/>
      <c r="AF9" s="567">
        <f>G9</f>
        <v/>
      </c>
      <c r="AG9" s="562" t="n"/>
      <c r="AH9" s="562" t="n"/>
      <c r="AI9" s="562" t="n"/>
      <c r="AJ9" s="69" t="n"/>
    </row>
    <row r="10" ht="15" customHeight="1" s="520">
      <c r="A10" s="2" t="n"/>
      <c r="E10" s="345" t="n"/>
      <c r="F10" s="99" t="n"/>
      <c r="G10" s="382" t="n"/>
      <c r="H10" s="383" t="n"/>
      <c r="I10" s="384" t="n"/>
      <c r="J10" s="271" t="n"/>
      <c r="K10" s="115" t="n"/>
      <c r="L10" s="115">
        <f>H10*Q10</f>
        <v/>
      </c>
      <c r="M10" s="115">
        <f>I10*Q10</f>
        <v/>
      </c>
      <c r="N10" s="227">
        <f>+H10*Q10</f>
        <v/>
      </c>
      <c r="O10" s="172" t="n"/>
      <c r="P10" s="277" t="n">
        <v>1</v>
      </c>
      <c r="Q10" s="566" t="n">
        <v>0.19</v>
      </c>
      <c r="R10" s="285" t="n"/>
      <c r="S10" s="162" t="n">
        <v>45717</v>
      </c>
      <c r="T10" s="559" t="n"/>
      <c r="U10" s="100" t="n"/>
      <c r="V10" s="163" t="n">
        <v>45992</v>
      </c>
      <c r="W10" s="100" t="n"/>
      <c r="X10" s="426" t="n"/>
      <c r="Y10" s="393" t="n"/>
      <c r="Z10" s="69" t="n"/>
      <c r="AA10" s="394" t="n"/>
      <c r="AB10" s="69" t="n"/>
      <c r="AC10" s="69" t="n"/>
      <c r="AD10" s="426" t="n"/>
      <c r="AE10" s="69" t="n"/>
      <c r="AF10" s="393" t="n"/>
      <c r="AG10" s="438" t="n"/>
      <c r="AH10" s="393" t="n"/>
      <c r="AI10" s="394" t="n"/>
      <c r="AJ10" s="69" t="n"/>
    </row>
    <row r="11" ht="15" customHeight="1" s="520">
      <c r="A11" s="2" t="n"/>
      <c r="E11" s="200" t="n"/>
      <c r="F11" s="99" t="n"/>
      <c r="G11" s="382" t="n"/>
      <c r="H11" s="383" t="n"/>
      <c r="I11" s="384" t="n"/>
      <c r="J11" s="271" t="n"/>
      <c r="K11" s="115" t="n"/>
      <c r="L11" s="115" t="n"/>
      <c r="M11" s="115" t="n"/>
      <c r="N11" s="227" t="n"/>
      <c r="O11" s="172" t="n"/>
      <c r="P11" s="277" t="n"/>
      <c r="Q11" s="566" t="n"/>
      <c r="R11" s="278" t="n"/>
      <c r="S11" s="162" t="n"/>
      <c r="T11" s="559" t="n"/>
      <c r="U11" s="100" t="n"/>
      <c r="V11" s="163" t="n"/>
      <c r="W11" s="100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 ht="15" customHeight="1" s="520" thickBot="1">
      <c r="A12" s="395" t="n"/>
      <c r="B12" s="12" t="n"/>
      <c r="C12" s="8" t="n"/>
      <c r="D12" s="8" t="n"/>
      <c r="F12" s="8" t="n"/>
      <c r="G12" s="382" t="n"/>
      <c r="H12" s="385" t="n"/>
      <c r="I12" s="384" t="n"/>
      <c r="J12" s="118" t="n"/>
      <c r="K12" s="115" t="n"/>
      <c r="L12" s="115">
        <f>H12*Q12</f>
        <v/>
      </c>
      <c r="M12" s="115">
        <f>I12*Q12</f>
        <v/>
      </c>
      <c r="N12" s="227">
        <f>+H12*Q12</f>
        <v/>
      </c>
      <c r="O12" s="162" t="n"/>
      <c r="P12" s="277" t="n">
        <v>1</v>
      </c>
      <c r="Q12" s="557" t="n">
        <v>0</v>
      </c>
      <c r="R12" s="558" t="n">
        <v>0.21</v>
      </c>
      <c r="S12" s="162" t="n">
        <v>45397</v>
      </c>
      <c r="T12" s="148" t="n">
        <v>45491</v>
      </c>
      <c r="U12" s="148" t="n">
        <v>45597</v>
      </c>
      <c r="V12" s="155" t="n">
        <v>46006</v>
      </c>
      <c r="W12" s="92" t="n"/>
      <c r="X12" s="5" t="n"/>
      <c r="Y12" s="5" t="n"/>
      <c r="Z12" s="115">
        <f>G12</f>
        <v/>
      </c>
      <c r="AD12" s="5" t="n"/>
      <c r="AE12" s="115">
        <f>G12</f>
        <v/>
      </c>
      <c r="AF12" s="5" t="n"/>
      <c r="AI12" s="5" t="n"/>
      <c r="AM12" s="9" t="n">
        <v>45261</v>
      </c>
      <c r="AN12" s="9">
        <f>+V12</f>
        <v/>
      </c>
      <c r="AO12" s="514">
        <f>DATEDIF(AM12,AN12,"ym")</f>
        <v/>
      </c>
      <c r="AX12" s="514" t="n">
        <v>50000</v>
      </c>
      <c r="AY12" s="514" t="n">
        <v>50000</v>
      </c>
      <c r="BC12" s="116">
        <f>SUM(AQ12:BB12)-I12</f>
        <v/>
      </c>
    </row>
    <row r="13" ht="15" customHeight="1" s="520">
      <c r="A13" s="113" t="n"/>
      <c r="E13" s="200" t="n"/>
      <c r="F13" s="99" t="n"/>
      <c r="G13" s="382" t="n"/>
      <c r="H13" s="383" t="n"/>
      <c r="I13" s="384" t="n"/>
      <c r="J13" s="118" t="n"/>
      <c r="K13" s="115" t="n"/>
      <c r="L13" s="115">
        <f>H13*Q13</f>
        <v/>
      </c>
      <c r="M13" s="115">
        <f>I13*Q13</f>
        <v/>
      </c>
      <c r="N13" s="227" t="n"/>
      <c r="O13" s="172" t="n"/>
      <c r="P13" s="277" t="n">
        <v>1</v>
      </c>
      <c r="Q13" s="568" t="n">
        <v>0.18</v>
      </c>
      <c r="R13" s="278" t="n"/>
      <c r="S13" s="162" t="n">
        <v>46082</v>
      </c>
      <c r="T13" s="559" t="n"/>
      <c r="U13" s="100" t="n"/>
      <c r="V13" s="163" t="n">
        <v>46233</v>
      </c>
      <c r="W13" s="100" t="n"/>
      <c r="X13" s="569">
        <f>G13</f>
        <v/>
      </c>
      <c r="Y13" s="427" t="n"/>
      <c r="Z13" s="427" t="n"/>
      <c r="AA13" s="430" t="n"/>
      <c r="AB13" s="69" t="n"/>
      <c r="AC13" s="69" t="n"/>
      <c r="AD13" s="570" t="n"/>
      <c r="AE13" s="571" t="n"/>
      <c r="AF13" s="572">
        <f>G13</f>
        <v/>
      </c>
      <c r="AG13" s="571" t="n"/>
      <c r="AH13" s="571" t="n"/>
      <c r="AI13" s="573" t="n"/>
      <c r="AJ13" s="69" t="n"/>
    </row>
    <row r="14" ht="15" customHeight="1" s="520">
      <c r="A14" s="130" t="n"/>
      <c r="B14" s="12" t="n"/>
      <c r="C14" s="8" t="n"/>
      <c r="D14" s="8" t="n"/>
      <c r="E14" s="345" t="n"/>
      <c r="F14" s="8" t="n"/>
      <c r="G14" s="382" t="n"/>
      <c r="H14" s="387" t="n"/>
      <c r="I14" s="424" t="n"/>
      <c r="J14" s="17" t="n"/>
      <c r="K14" s="115" t="n"/>
      <c r="L14" s="115">
        <f>H14*Q14</f>
        <v/>
      </c>
      <c r="M14" s="115">
        <f>I14*Q14</f>
        <v/>
      </c>
      <c r="N14" s="227">
        <f>J14*Q14</f>
        <v/>
      </c>
      <c r="O14" s="183" t="n">
        <v>45932</v>
      </c>
      <c r="P14" s="210" t="n">
        <v>1</v>
      </c>
      <c r="Q14" s="568" t="n">
        <v>0.25</v>
      </c>
      <c r="R14" s="574" t="n">
        <v>0.24</v>
      </c>
      <c r="S14" s="154" t="n">
        <v>46327</v>
      </c>
      <c r="T14" s="148" t="n"/>
      <c r="U14" s="148" t="n"/>
      <c r="V14" s="155" t="n">
        <v>46082</v>
      </c>
      <c r="W14" s="99" t="n"/>
      <c r="X14" s="23" t="n"/>
      <c r="Z14" s="5">
        <f>G14</f>
        <v/>
      </c>
      <c r="AA14" s="394" t="n"/>
      <c r="AB14" s="69" t="n"/>
      <c r="AD14" s="23" t="n"/>
      <c r="AE14" s="273" t="n"/>
      <c r="AF14" s="140">
        <f>G14</f>
        <v/>
      </c>
      <c r="AG14" s="16" t="n"/>
      <c r="AH14" s="16" t="n"/>
      <c r="AI14" s="118" t="n"/>
    </row>
    <row r="15" ht="15" customHeight="1" s="520">
      <c r="A15" s="130" t="n"/>
      <c r="B15" s="8" t="n"/>
      <c r="C15" s="8" t="n"/>
      <c r="D15" s="8" t="n"/>
      <c r="E15" s="129" t="n"/>
      <c r="F15" s="8" t="n"/>
      <c r="G15" s="382" t="n"/>
      <c r="H15" s="385" t="n"/>
      <c r="I15" s="384" t="n"/>
      <c r="J15" s="17" t="n"/>
      <c r="K15" s="115" t="inlineStr">
        <is>
          <t>*</t>
        </is>
      </c>
      <c r="L15" s="115">
        <f>H15*Q15</f>
        <v/>
      </c>
      <c r="M15" s="115">
        <f>I15*Q15</f>
        <v/>
      </c>
      <c r="N15" s="227">
        <f>+H15*Q15</f>
        <v/>
      </c>
      <c r="O15" s="162" t="n"/>
      <c r="P15" s="210" t="n">
        <v>1</v>
      </c>
      <c r="Q15" s="566" t="n">
        <v>0.24</v>
      </c>
      <c r="R15" s="558" t="n">
        <v>0.26</v>
      </c>
      <c r="S15" s="154" t="n">
        <v>45901</v>
      </c>
      <c r="T15" s="148" t="n"/>
      <c r="U15" s="148" t="n"/>
      <c r="V15" s="155" t="n">
        <v>46113</v>
      </c>
      <c r="W15" s="92" t="n"/>
      <c r="X15" s="24" t="n"/>
      <c r="Y15" s="140" t="n"/>
      <c r="Z15" s="140">
        <f>H15</f>
        <v/>
      </c>
      <c r="AA15" s="17" t="n"/>
      <c r="AD15" s="23" t="n"/>
      <c r="AE15" s="13">
        <f>H15</f>
        <v/>
      </c>
      <c r="AF15" s="16" t="n"/>
      <c r="AG15" s="117" t="n"/>
      <c r="AH15" s="22" t="n"/>
      <c r="AI15" s="118" t="n"/>
    </row>
    <row r="16" ht="15" customHeight="1" s="520">
      <c r="A16" s="395" t="n"/>
      <c r="B16" s="12" t="n"/>
      <c r="C16" s="8" t="n"/>
      <c r="D16" s="8" t="n"/>
      <c r="E16" s="200" t="n"/>
      <c r="F16" s="8" t="n"/>
      <c r="G16" s="117" t="n"/>
      <c r="H16" s="140" t="n"/>
      <c r="I16" s="271" t="n"/>
      <c r="J16" s="52" t="n"/>
      <c r="K16" s="115" t="n"/>
      <c r="L16" s="115">
        <f>H16*Q16</f>
        <v/>
      </c>
      <c r="M16" s="115">
        <f>I16*Q16</f>
        <v/>
      </c>
      <c r="N16" s="227">
        <f>+H16*Q16</f>
        <v/>
      </c>
      <c r="O16" s="183" t="n"/>
      <c r="P16" s="210" t="n">
        <v>1</v>
      </c>
      <c r="Q16" s="566" t="n">
        <v>0.185</v>
      </c>
      <c r="R16" s="566" t="n">
        <v>0.185</v>
      </c>
      <c r="S16" s="154" t="n">
        <v>46023</v>
      </c>
      <c r="T16" s="148" t="n"/>
      <c r="U16" s="148" t="n"/>
      <c r="V16" s="155" t="inlineStr">
        <is>
          <t>01.042026</t>
        </is>
      </c>
      <c r="W16" s="99" t="n"/>
      <c r="X16" s="5">
        <f>G16</f>
        <v/>
      </c>
      <c r="Y16" s="69" t="n"/>
      <c r="Z16" s="69" t="n"/>
      <c r="AA16" s="69" t="n"/>
      <c r="AB16" s="69" t="n"/>
      <c r="AD16" s="5">
        <f>G16</f>
        <v/>
      </c>
      <c r="AE16" s="5" t="n"/>
      <c r="AI16" s="115" t="n"/>
    </row>
    <row r="17" ht="15" customHeight="1" s="520">
      <c r="A17" s="130" t="n"/>
      <c r="B17" s="12" t="n"/>
      <c r="C17" s="8" t="n"/>
      <c r="D17" s="8" t="n"/>
      <c r="E17" s="129" t="n"/>
      <c r="F17" s="8" t="n"/>
      <c r="G17" s="382" t="n"/>
      <c r="H17" s="387" t="n"/>
      <c r="I17" s="424" t="n"/>
      <c r="J17" s="118" t="n"/>
      <c r="K17" s="115" t="n"/>
      <c r="L17" s="115">
        <f>H17*Q17</f>
        <v/>
      </c>
      <c r="M17" s="115">
        <f>I17*Q17</f>
        <v/>
      </c>
      <c r="N17" s="227">
        <f>+H17*Q17</f>
        <v/>
      </c>
      <c r="O17" s="162" t="n"/>
      <c r="P17" s="277" t="n">
        <v>1</v>
      </c>
      <c r="Q17" s="557" t="n">
        <v>0.2</v>
      </c>
      <c r="R17" s="558" t="n"/>
      <c r="S17" s="154" t="n">
        <v>45170</v>
      </c>
      <c r="T17" s="148" t="n"/>
      <c r="U17" s="148" t="n"/>
      <c r="V17" s="155" t="n">
        <v>45596</v>
      </c>
      <c r="W17" s="92" t="n"/>
      <c r="X17" s="180">
        <f>G17</f>
        <v/>
      </c>
      <c r="Y17" s="5" t="n"/>
      <c r="AA17" s="52" t="n"/>
      <c r="AD17" s="180" t="n"/>
      <c r="AE17" s="5">
        <f>G17</f>
        <v/>
      </c>
      <c r="AI17" s="52" t="n"/>
      <c r="AM17" s="9" t="n">
        <v>45261</v>
      </c>
      <c r="AN17" s="9">
        <f>+V17</f>
        <v/>
      </c>
      <c r="AO17" s="514">
        <f>DATEDIF(AM17,AN17,"ym")</f>
        <v/>
      </c>
      <c r="AP17" s="514">
        <f>+I17/AO17</f>
        <v/>
      </c>
      <c r="AQ17" s="514">
        <f>+AP17</f>
        <v/>
      </c>
      <c r="AR17" s="514">
        <f>+AQ17</f>
        <v/>
      </c>
      <c r="AS17" s="514">
        <f>+AR17</f>
        <v/>
      </c>
      <c r="AT17" s="514">
        <f>+AS17</f>
        <v/>
      </c>
      <c r="AU17" s="514">
        <f>+AT17</f>
        <v/>
      </c>
      <c r="AV17" s="514">
        <f>+AU17</f>
        <v/>
      </c>
      <c r="AW17" s="514">
        <f>+AV17</f>
        <v/>
      </c>
      <c r="AX17" s="514">
        <f>+AW17</f>
        <v/>
      </c>
      <c r="AY17" s="514">
        <f>+AX17</f>
        <v/>
      </c>
      <c r="AZ17" s="514">
        <f>+AY17</f>
        <v/>
      </c>
      <c r="BC17" s="115">
        <f>SUM(AQ17:BB17)-I17</f>
        <v/>
      </c>
    </row>
    <row r="18" ht="15" customHeight="1" s="520">
      <c r="A18" s="2" t="n"/>
      <c r="E18" s="345" t="n"/>
      <c r="F18" s="99" t="n"/>
      <c r="G18" s="382" t="n"/>
      <c r="H18" s="385" t="n"/>
      <c r="I18" s="384" t="n"/>
      <c r="J18" s="118" t="n"/>
      <c r="K18" s="115" t="n"/>
      <c r="L18" s="115">
        <f>H18*Q18</f>
        <v/>
      </c>
      <c r="M18" s="115">
        <f>I18*Q18</f>
        <v/>
      </c>
      <c r="N18" s="227">
        <f>+H18*Q18</f>
        <v/>
      </c>
      <c r="O18" s="162" t="n">
        <v>45444</v>
      </c>
      <c r="P18" s="277" t="n">
        <v>1</v>
      </c>
      <c r="Q18" s="557" t="n">
        <v>0.22</v>
      </c>
      <c r="R18" s="331" t="n">
        <v>0.18</v>
      </c>
      <c r="S18" s="162" t="n">
        <v>45611</v>
      </c>
      <c r="T18" s="559" t="n"/>
      <c r="U18" s="100" t="n"/>
      <c r="V18" s="163" t="n">
        <v>45809</v>
      </c>
      <c r="W18" s="100" t="n"/>
      <c r="X18" s="575">
        <f>G18</f>
        <v/>
      </c>
      <c r="Y18" s="182" t="n"/>
      <c r="Z18" s="182" t="n"/>
      <c r="AA18" s="429" t="n"/>
      <c r="AB18" s="182" t="n"/>
      <c r="AC18" s="182" t="n"/>
      <c r="AD18" s="431" t="n"/>
      <c r="AE18" s="435" t="n"/>
      <c r="AF18" s="428" t="n"/>
      <c r="AG18" s="428" t="n"/>
      <c r="AH18" s="428" t="n"/>
      <c r="AI18" s="429" t="n"/>
      <c r="AJ18" s="69" t="n"/>
    </row>
    <row r="19" ht="15" customHeight="1" s="520">
      <c r="A19" s="113" t="n"/>
      <c r="E19" s="200" t="n"/>
      <c r="F19" s="99" t="n"/>
      <c r="G19" s="382" t="n"/>
      <c r="H19" s="385" t="n"/>
      <c r="I19" s="383" t="n"/>
      <c r="J19" s="492" t="n"/>
      <c r="K19" s="489" t="n"/>
      <c r="L19" s="115">
        <f>H19*Q19</f>
        <v/>
      </c>
      <c r="M19" s="115">
        <f>I19*Q19</f>
        <v/>
      </c>
      <c r="N19" s="227">
        <f>+H19*Q19</f>
        <v/>
      </c>
      <c r="O19" s="162" t="n">
        <v>45458</v>
      </c>
      <c r="P19" s="277" t="n">
        <v>1</v>
      </c>
      <c r="Q19" s="557" t="n">
        <v>0.104</v>
      </c>
      <c r="R19" s="558" t="n">
        <v>0.16</v>
      </c>
      <c r="S19" s="162" t="n">
        <v>45717</v>
      </c>
      <c r="T19" s="100" t="n"/>
      <c r="U19" s="100" t="n"/>
      <c r="V19" s="163" t="n">
        <v>45930</v>
      </c>
      <c r="W19" s="100" t="n"/>
      <c r="X19" s="564">
        <f>G19</f>
        <v/>
      </c>
      <c r="Y19" s="182" t="n"/>
      <c r="Z19" s="182" t="n"/>
      <c r="AA19" s="182" t="n"/>
      <c r="AB19" s="182" t="n"/>
      <c r="AC19" s="182" t="n"/>
      <c r="AD19" s="564" t="n"/>
      <c r="AE19" s="564" t="n"/>
      <c r="AF19" s="564" t="n"/>
      <c r="AG19" s="564">
        <f>+E19</f>
        <v/>
      </c>
      <c r="AH19" s="564" t="n"/>
      <c r="AI19" s="564" t="n"/>
      <c r="AJ19" s="69" t="n"/>
    </row>
    <row r="20" ht="15" customHeight="1" s="520">
      <c r="A20" s="113" t="n"/>
      <c r="E20" s="345" t="n"/>
      <c r="F20" s="99" t="n"/>
      <c r="G20" s="386" t="n"/>
      <c r="H20" s="382" t="n"/>
      <c r="I20" s="384" t="n"/>
      <c r="J20" s="271" t="n"/>
      <c r="K20" s="115" t="n"/>
      <c r="L20" s="115">
        <f>H20*Q20</f>
        <v/>
      </c>
      <c r="M20" s="115">
        <f>I20*Q20</f>
        <v/>
      </c>
      <c r="N20" s="227">
        <f>+H20*Q20</f>
        <v/>
      </c>
      <c r="O20" s="172" t="n"/>
      <c r="P20" s="277" t="n">
        <v>1</v>
      </c>
      <c r="Q20" s="557" t="n">
        <v>0.18</v>
      </c>
      <c r="R20" s="558" t="n">
        <v>0.25</v>
      </c>
      <c r="S20" s="162" t="n">
        <v>45856</v>
      </c>
      <c r="T20" s="100" t="n"/>
      <c r="U20" s="100" t="n"/>
      <c r="V20" s="163" t="n">
        <v>45686</v>
      </c>
      <c r="W20" s="100" t="n"/>
      <c r="X20" s="564">
        <f>G20</f>
        <v/>
      </c>
      <c r="Y20" s="428" t="n"/>
      <c r="Z20" s="182" t="n"/>
      <c r="AA20" s="182" t="n"/>
      <c r="AB20" s="182" t="n"/>
      <c r="AC20" s="182" t="n"/>
      <c r="AD20" s="564" t="n"/>
      <c r="AE20" s="564" t="n"/>
      <c r="AF20" s="564" t="n"/>
      <c r="AG20" s="564" t="n"/>
      <c r="AH20" s="564" t="n"/>
      <c r="AI20" s="564" t="n"/>
      <c r="AJ20" s="69" t="n"/>
    </row>
    <row r="21" ht="15" customHeight="1" s="520">
      <c r="A21" s="113" t="n"/>
      <c r="E21" s="200" t="n"/>
      <c r="F21" s="99" t="n"/>
      <c r="G21" s="382" t="n"/>
      <c r="H21" s="387" t="n"/>
      <c r="I21" s="425" t="n"/>
      <c r="J21" s="118" t="n"/>
      <c r="K21" s="489" t="n"/>
      <c r="L21" s="332">
        <f>H21*Q21</f>
        <v/>
      </c>
      <c r="M21" s="115">
        <f>I21*Q21</f>
        <v/>
      </c>
      <c r="N21" s="227">
        <f>+H21*Q21</f>
        <v/>
      </c>
      <c r="O21" s="490" t="n"/>
      <c r="P21" s="277" t="n">
        <v>1</v>
      </c>
      <c r="Q21" s="557">
        <f>0</f>
        <v/>
      </c>
      <c r="R21" s="558" t="n"/>
      <c r="S21" s="162" t="n"/>
      <c r="T21" s="100" t="n"/>
      <c r="U21" s="100" t="n"/>
      <c r="V21" s="163" t="n"/>
      <c r="W21" s="100" t="n"/>
      <c r="X21" s="575" t="n"/>
      <c r="Y21" s="428" t="n"/>
      <c r="Z21" s="428" t="n"/>
      <c r="AA21" s="429" t="n"/>
      <c r="AB21" s="182" t="n"/>
      <c r="AC21" s="182" t="n"/>
      <c r="AD21" s="575" t="n"/>
      <c r="AE21" s="576" t="n"/>
      <c r="AF21" s="576" t="n"/>
      <c r="AG21" s="577" t="n"/>
      <c r="AH21" s="577" t="n"/>
      <c r="AI21" s="578" t="n"/>
      <c r="AJ21" s="69" t="n"/>
    </row>
    <row r="22" ht="15" customHeight="1" s="520">
      <c r="A22" s="130" t="n"/>
      <c r="B22" s="12" t="n"/>
      <c r="C22" s="8" t="n"/>
      <c r="D22" s="8" t="n"/>
      <c r="E22" s="129" t="n"/>
      <c r="F22" s="8" t="n"/>
      <c r="G22" s="346" t="n"/>
      <c r="H22" s="228" t="n"/>
      <c r="I22" s="118" t="n"/>
      <c r="J22" s="52" t="n"/>
      <c r="K22" s="115" t="inlineStr">
        <is>
          <t>*</t>
        </is>
      </c>
      <c r="L22" s="115">
        <f>H22*Q22</f>
        <v/>
      </c>
      <c r="M22" s="115">
        <f>I22*Q22</f>
        <v/>
      </c>
      <c r="N22" s="227">
        <f>J22*Q22</f>
        <v/>
      </c>
      <c r="O22" s="183" t="n"/>
      <c r="P22" s="210" t="n">
        <v>1</v>
      </c>
      <c r="Q22" s="566" t="n">
        <v>0.17</v>
      </c>
      <c r="R22" s="558" t="n">
        <v>0.27</v>
      </c>
      <c r="S22" s="154" t="n">
        <v>46082</v>
      </c>
      <c r="T22" s="148" t="n"/>
      <c r="U22" s="148" t="n"/>
      <c r="V22" s="155" t="n">
        <v>46174</v>
      </c>
      <c r="W22" s="99" t="n"/>
      <c r="X22" s="24" t="n"/>
      <c r="Y22" s="13" t="n"/>
      <c r="Z22" s="115">
        <f>G22</f>
        <v/>
      </c>
      <c r="AA22" s="17" t="n"/>
      <c r="AD22" s="23" t="n"/>
      <c r="AE22" s="5">
        <f>G22</f>
        <v/>
      </c>
      <c r="AF22" s="16" t="n"/>
      <c r="AG22" s="90" t="n"/>
      <c r="AH22" s="16" t="n"/>
      <c r="AI22" s="17" t="n"/>
    </row>
    <row r="23" ht="15" customHeight="1" s="520">
      <c r="A23" s="130" t="n"/>
      <c r="B23" s="8" t="n"/>
      <c r="C23" s="8" t="n"/>
      <c r="D23" s="8" t="n"/>
      <c r="E23" s="334" t="n"/>
      <c r="F23" s="8" t="n"/>
      <c r="G23" s="382" t="n"/>
      <c r="H23" s="385" t="n"/>
      <c r="I23" s="424" t="n"/>
      <c r="J23" s="271" t="n"/>
      <c r="K23" s="115" t="n"/>
      <c r="L23" s="115">
        <f>H23*Q23</f>
        <v/>
      </c>
      <c r="M23" s="115">
        <f>I23*Q23</f>
        <v/>
      </c>
      <c r="N23" s="227">
        <f>+H23*Q23</f>
        <v/>
      </c>
      <c r="O23" s="162" t="n"/>
      <c r="P23" s="210" t="n">
        <v>1</v>
      </c>
      <c r="Q23" s="566" t="n">
        <v>0.25</v>
      </c>
      <c r="R23" s="574" t="n">
        <v>0.21</v>
      </c>
      <c r="S23" s="154" t="n">
        <v>45809</v>
      </c>
      <c r="T23" s="148" t="n"/>
      <c r="U23" s="148" t="n"/>
      <c r="V23" s="155" t="n">
        <v>45962</v>
      </c>
      <c r="W23" s="92" t="n"/>
      <c r="X23" s="24" t="n"/>
      <c r="Y23" s="5" t="n"/>
      <c r="Z23" s="514">
        <f>G23</f>
        <v/>
      </c>
      <c r="AA23" s="17" t="n"/>
      <c r="AD23" s="23" t="n"/>
      <c r="AE23" s="90" t="n"/>
      <c r="AF23" s="16">
        <f>G23</f>
        <v/>
      </c>
      <c r="AG23" s="13" t="n"/>
      <c r="AH23" s="16" t="n"/>
      <c r="AI23" s="17" t="n"/>
    </row>
    <row r="24" ht="15" customHeight="1" s="520">
      <c r="A24" s="130" t="n"/>
      <c r="B24" s="8" t="n"/>
      <c r="C24" s="8" t="n"/>
      <c r="D24" s="8" t="n"/>
      <c r="E24" s="129" t="n"/>
      <c r="F24" s="8" t="n"/>
      <c r="G24" s="140" t="n"/>
      <c r="H24" s="228" t="n"/>
      <c r="I24" s="271" t="n"/>
      <c r="J24" s="118" t="n"/>
      <c r="K24" s="115" t="n"/>
      <c r="L24" s="115">
        <f>H24*Q24</f>
        <v/>
      </c>
      <c r="M24" s="115">
        <f>I24*Q24</f>
        <v/>
      </c>
      <c r="N24" s="227">
        <f>+H24*Q24</f>
        <v/>
      </c>
      <c r="O24" s="162" t="n"/>
      <c r="P24" s="210" t="n">
        <v>1</v>
      </c>
      <c r="Q24" s="566" t="n">
        <v>0.3</v>
      </c>
      <c r="R24" s="574" t="n"/>
      <c r="S24" s="154" t="n">
        <v>45748</v>
      </c>
      <c r="T24" s="148" t="n"/>
      <c r="U24" s="148" t="n"/>
      <c r="V24" s="155" t="n">
        <v>45992</v>
      </c>
      <c r="W24" s="92" t="n"/>
      <c r="X24" s="24" t="n"/>
      <c r="Y24" s="140">
        <f>G24</f>
        <v/>
      </c>
      <c r="Z24" s="140">
        <f>G24</f>
        <v/>
      </c>
      <c r="AA24" s="17" t="n"/>
      <c r="AD24" s="23" t="n"/>
      <c r="AE24" s="13">
        <f>G24</f>
        <v/>
      </c>
      <c r="AF24" s="16" t="n"/>
      <c r="AG24" s="16" t="n"/>
      <c r="AH24" s="16" t="n"/>
      <c r="AI24" s="17" t="n"/>
    </row>
    <row r="25" ht="15" customHeight="1" s="520">
      <c r="A25" s="395" t="n"/>
      <c r="B25" s="8" t="n"/>
      <c r="C25" s="8" t="n"/>
      <c r="D25" s="8" t="n"/>
      <c r="F25" s="8" t="n"/>
      <c r="G25" s="382" t="n"/>
      <c r="H25" s="385" t="n"/>
      <c r="I25" s="384" t="n"/>
      <c r="J25" s="17" t="n"/>
      <c r="K25" s="115" t="n"/>
      <c r="L25" s="115">
        <f>H25*Q25</f>
        <v/>
      </c>
      <c r="M25" s="115">
        <f>I25*Q25</f>
        <v/>
      </c>
      <c r="N25" s="227">
        <f>+H25*Q25</f>
        <v/>
      </c>
      <c r="O25" s="162" t="n"/>
      <c r="P25" s="210" t="n">
        <v>1</v>
      </c>
      <c r="Q25" s="566" t="n">
        <v>0.25</v>
      </c>
      <c r="R25" s="558" t="n">
        <v>0.28</v>
      </c>
      <c r="S25" s="154" t="n">
        <v>46023</v>
      </c>
      <c r="T25" s="148" t="n"/>
      <c r="U25" s="148" t="n"/>
      <c r="V25" s="155" t="n">
        <v>46113</v>
      </c>
      <c r="W25" s="92" t="n"/>
      <c r="X25" s="2" t="n"/>
      <c r="Y25" s="115" t="n"/>
      <c r="Z25" s="115">
        <f>G25</f>
        <v/>
      </c>
      <c r="AA25" s="52" t="n"/>
      <c r="AD25" s="180">
        <f>G25</f>
        <v/>
      </c>
      <c r="AE25" s="5" t="n"/>
      <c r="AG25" s="115" t="n"/>
      <c r="AI25" s="271" t="n"/>
    </row>
    <row r="26" ht="15" customHeight="1" s="520">
      <c r="A26" s="130" t="n"/>
      <c r="B26" s="8" t="n"/>
      <c r="C26" s="8" t="n"/>
      <c r="D26" s="8" t="n"/>
      <c r="E26" s="129" t="n"/>
      <c r="F26" s="8" t="n"/>
      <c r="G26" s="140" t="n"/>
      <c r="H26" s="228" t="n"/>
      <c r="I26" s="271" t="n"/>
      <c r="J26" s="17" t="n"/>
      <c r="K26" s="115" t="n"/>
      <c r="L26" s="115">
        <f>H26*Q26</f>
        <v/>
      </c>
      <c r="M26" s="115">
        <f>I26*Q26</f>
        <v/>
      </c>
      <c r="N26" s="227">
        <f>+H26*Q26</f>
        <v/>
      </c>
      <c r="O26" s="162" t="n"/>
      <c r="P26" s="210" t="n">
        <v>1</v>
      </c>
      <c r="Q26" s="566" t="n">
        <v>0.21</v>
      </c>
      <c r="R26" s="574" t="n"/>
      <c r="S26" s="154" t="n">
        <v>45839</v>
      </c>
      <c r="T26" s="148" t="n"/>
      <c r="U26" s="148" t="n"/>
      <c r="V26" s="155" t="n"/>
      <c r="W26" s="92" t="n"/>
      <c r="X26" s="24" t="n"/>
      <c r="Y26" s="13" t="n"/>
      <c r="Z26" s="16" t="n"/>
      <c r="AA26" s="17" t="n"/>
      <c r="AD26" s="23" t="n"/>
      <c r="AE26" s="13" t="n"/>
      <c r="AG26" s="22" t="n"/>
      <c r="AH26" s="22" t="n"/>
      <c r="AI26" s="17" t="n"/>
    </row>
    <row r="27" ht="15" customHeight="1" s="520">
      <c r="A27" s="130" t="n"/>
      <c r="B27" s="5" t="n"/>
      <c r="E27" s="129" t="n"/>
      <c r="F27" s="8" t="n"/>
      <c r="G27" s="382" t="n"/>
      <c r="H27" s="385" t="n"/>
      <c r="I27" s="384" t="n"/>
      <c r="J27" s="118" t="n"/>
      <c r="K27" s="115" t="n"/>
      <c r="L27" s="115">
        <f>H27*Q27</f>
        <v/>
      </c>
      <c r="M27" s="115">
        <f>I27*Q27</f>
        <v/>
      </c>
      <c r="N27" s="227">
        <f>+H27*Q27</f>
        <v/>
      </c>
      <c r="O27" s="162" t="n"/>
      <c r="P27" s="277" t="n">
        <v>1</v>
      </c>
      <c r="Q27" s="557" t="n">
        <v>0.23</v>
      </c>
      <c r="R27" s="558" t="n"/>
      <c r="S27" s="154" t="n">
        <v>45201</v>
      </c>
      <c r="T27" s="148" t="n"/>
      <c r="U27" s="148" t="n"/>
      <c r="V27" s="155" t="n">
        <v>45427</v>
      </c>
      <c r="W27" s="92" t="n"/>
      <c r="X27" s="23" t="n"/>
      <c r="Y27" s="13">
        <f>G27</f>
        <v/>
      </c>
      <c r="Z27" s="16" t="n"/>
      <c r="AA27" s="17" t="n"/>
      <c r="AD27" s="23" t="n"/>
      <c r="AE27" s="16" t="n"/>
      <c r="AF27" s="13" t="n"/>
      <c r="AG27" s="22" t="n"/>
      <c r="AH27" s="22" t="n"/>
      <c r="AI27" s="14">
        <f>G27</f>
        <v/>
      </c>
      <c r="AM27" s="9" t="n">
        <v>45261</v>
      </c>
      <c r="AN27" s="9">
        <f>+V27</f>
        <v/>
      </c>
      <c r="AO27" s="514">
        <f>DATEDIF(AM27,AN27,"ym")</f>
        <v/>
      </c>
      <c r="AP27" s="514">
        <f>+I27/AO27</f>
        <v/>
      </c>
      <c r="AQ27" s="514">
        <f>+AP27</f>
        <v/>
      </c>
      <c r="AR27" s="514">
        <f>+AQ27</f>
        <v/>
      </c>
      <c r="AS27" s="514">
        <f>+AR27</f>
        <v/>
      </c>
      <c r="AT27" s="514">
        <f>+AS27</f>
        <v/>
      </c>
      <c r="AU27" s="514">
        <f>+AT27</f>
        <v/>
      </c>
    </row>
    <row r="28">
      <c r="G28" s="140" t="n"/>
      <c r="H28" s="228" t="n"/>
      <c r="I28" s="118" t="n"/>
      <c r="J28" s="52" t="n"/>
      <c r="L28" s="115">
        <f>H28*Q28</f>
        <v/>
      </c>
      <c r="M28" s="115">
        <f>I28*Q28</f>
        <v/>
      </c>
      <c r="O28" s="347" t="n"/>
      <c r="P28" s="210" t="n">
        <v>0.9</v>
      </c>
      <c r="Q28" s="566" t="n">
        <v>0.31</v>
      </c>
      <c r="R28" s="558" t="n">
        <v>0.31</v>
      </c>
      <c r="S28" s="154" t="n">
        <v>45992</v>
      </c>
      <c r="T28" s="148" t="n"/>
      <c r="U28" s="148" t="n"/>
      <c r="V28" s="155" t="n">
        <v>46022</v>
      </c>
      <c r="Y28" s="140">
        <f>G28</f>
        <v/>
      </c>
      <c r="AD28" s="23">
        <f>G28</f>
        <v/>
      </c>
    </row>
    <row r="29" ht="15" customHeight="1" s="520">
      <c r="A29" s="113" t="n"/>
      <c r="E29" s="345" t="n"/>
      <c r="F29" s="99" t="n"/>
      <c r="G29" s="140" t="n"/>
      <c r="H29" s="228" t="n"/>
      <c r="I29" s="90" t="n"/>
      <c r="J29" s="271" t="n">
        <v>995506</v>
      </c>
      <c r="K29" s="115" t="n"/>
      <c r="L29" s="115">
        <f>H29*Q29</f>
        <v/>
      </c>
      <c r="M29" s="5">
        <f>I29*Q29</f>
        <v/>
      </c>
      <c r="N29" s="227">
        <f>+H29*Q29</f>
        <v/>
      </c>
      <c r="O29" s="154" t="inlineStr">
        <is>
          <t>,:</t>
        </is>
      </c>
      <c r="P29" s="182" t="n"/>
      <c r="Q29" s="557" t="n">
        <v>0.19</v>
      </c>
      <c r="R29" s="558" t="n">
        <v>0.19</v>
      </c>
      <c r="S29" s="154" t="n">
        <v>45839</v>
      </c>
      <c r="T29" s="559" t="n"/>
      <c r="U29" s="100" t="n"/>
      <c r="V29" s="163" t="n">
        <v>46357</v>
      </c>
      <c r="W29" s="100" t="n"/>
      <c r="X29" s="5">
        <f>G29</f>
        <v/>
      </c>
      <c r="Y29" s="5" t="n"/>
      <c r="AD29" s="5" t="n"/>
      <c r="AF29" s="5">
        <f>G29</f>
        <v/>
      </c>
      <c r="AI29" s="5" t="n"/>
      <c r="AJ29" s="69" t="n"/>
      <c r="BC29" s="115">
        <f>SUM(AQ29:BB29)-J29</f>
        <v/>
      </c>
    </row>
    <row r="30" ht="15" customHeight="1" s="520">
      <c r="A30" s="395" t="n"/>
      <c r="B30" s="12" t="n"/>
      <c r="C30" s="8" t="n"/>
      <c r="D30" s="8" t="n"/>
      <c r="E30" s="200" t="n"/>
      <c r="F30" s="8" t="n"/>
      <c r="G30" s="382" t="n"/>
      <c r="H30" s="383" t="n"/>
      <c r="I30" s="383" t="n"/>
      <c r="J30" s="52" t="n"/>
      <c r="K30" s="115" t="n"/>
      <c r="L30" s="115">
        <f>H30*Q30</f>
        <v/>
      </c>
      <c r="M30" s="115">
        <f>I30*Q30</f>
        <v/>
      </c>
      <c r="N30" s="227">
        <f>J30*Q30</f>
        <v/>
      </c>
      <c r="O30" s="183" t="n">
        <v>45961</v>
      </c>
      <c r="P30" s="210" t="n">
        <v>1</v>
      </c>
      <c r="Q30" s="566" t="n">
        <v>0.23</v>
      </c>
      <c r="R30" s="574" t="n">
        <v>0.27</v>
      </c>
      <c r="S30" s="154" t="n">
        <v>45962</v>
      </c>
      <c r="T30" s="148" t="n"/>
      <c r="U30" s="148" t="n"/>
      <c r="V30" s="155" t="n">
        <v>45992</v>
      </c>
      <c r="W30" s="99" t="n"/>
      <c r="X30" s="5" t="n"/>
      <c r="Y30" s="115">
        <f>G30</f>
        <v/>
      </c>
      <c r="Z30" s="5" t="n"/>
      <c r="AA30" s="69" t="n"/>
      <c r="AB30" s="69" t="n"/>
      <c r="AD30" s="5">
        <f>G30</f>
        <v/>
      </c>
      <c r="AE30" s="5" t="n"/>
      <c r="AF30" s="115" t="n"/>
      <c r="AI30" s="115" t="n"/>
    </row>
    <row r="31" ht="16.5" customHeight="1" s="520">
      <c r="A31" s="395" t="n"/>
      <c r="B31" s="8" t="n"/>
      <c r="C31" s="8" t="n"/>
      <c r="D31" s="8" t="n"/>
      <c r="F31" s="8" t="n"/>
      <c r="G31" s="382" t="n"/>
      <c r="H31" s="383" t="n"/>
      <c r="I31" s="384" t="n"/>
      <c r="J31" s="118" t="n"/>
      <c r="K31" s="115" t="n"/>
      <c r="L31" s="115">
        <f>H31*Q31</f>
        <v/>
      </c>
      <c r="M31" s="115">
        <f>I31*Q31</f>
        <v/>
      </c>
      <c r="N31" s="227">
        <f>J31*Q31</f>
        <v/>
      </c>
      <c r="O31" s="162" t="n"/>
      <c r="P31" s="210" t="n">
        <v>0.8</v>
      </c>
      <c r="Q31" s="566" t="n">
        <v>0.24</v>
      </c>
      <c r="R31" s="558" t="n">
        <v>0.27</v>
      </c>
      <c r="S31" s="154" t="n">
        <v>45931</v>
      </c>
      <c r="T31" s="148" t="n"/>
      <c r="U31" s="148" t="n"/>
      <c r="V31" s="155" t="n">
        <v>46174</v>
      </c>
      <c r="W31" s="92" t="n"/>
      <c r="X31" s="2" t="n"/>
      <c r="Y31" s="115">
        <f>G31</f>
        <v/>
      </c>
      <c r="Z31" s="115" t="n"/>
      <c r="AA31" s="52" t="n"/>
      <c r="AD31" s="180" t="n"/>
      <c r="AE31" s="5" t="n"/>
      <c r="AF31" s="115" t="n"/>
      <c r="AG31" s="115" t="n"/>
      <c r="AI31" s="271">
        <f>G31</f>
        <v/>
      </c>
    </row>
    <row r="32" ht="15" customHeight="1" s="520">
      <c r="A32" s="2" t="n"/>
      <c r="E32" s="129" t="n"/>
      <c r="F32" s="487" t="n"/>
      <c r="G32" s="382" t="n"/>
      <c r="H32" s="385" t="n"/>
      <c r="I32" s="384" t="n"/>
      <c r="J32" s="492" t="n"/>
      <c r="K32" s="489" t="inlineStr">
        <is>
          <t>*</t>
        </is>
      </c>
      <c r="L32" s="115">
        <f>H32*Q32</f>
        <v/>
      </c>
      <c r="M32" s="115">
        <f>I32*Q32</f>
        <v/>
      </c>
      <c r="N32" s="227">
        <f>+H32*Q32</f>
        <v/>
      </c>
      <c r="O32" s="490" t="n"/>
      <c r="P32" s="277" t="n">
        <v>1</v>
      </c>
      <c r="Q32" s="558" t="n">
        <v>0.23</v>
      </c>
      <c r="R32" s="558" t="n"/>
      <c r="S32" s="154" t="n">
        <v>45931</v>
      </c>
      <c r="T32" s="559" t="n"/>
      <c r="U32" s="100" t="n"/>
      <c r="V32" s="163" t="n">
        <v>45992</v>
      </c>
      <c r="W32" s="100" t="n"/>
      <c r="X32" s="564">
        <f>G32</f>
        <v/>
      </c>
      <c r="Y32" s="69" t="n"/>
      <c r="Z32" s="69" t="n"/>
      <c r="AA32" s="69" t="n"/>
      <c r="AB32" s="69" t="n"/>
      <c r="AC32" s="69" t="n"/>
      <c r="AD32" s="579" t="n"/>
      <c r="AE32" s="580" t="n"/>
      <c r="AF32" s="581" t="n"/>
      <c r="AG32" s="581" t="n"/>
      <c r="AH32" s="581" t="n"/>
      <c r="AI32" s="582" t="n"/>
      <c r="AJ32" s="69" t="n"/>
    </row>
    <row r="33" ht="15" customHeight="1" s="520">
      <c r="A33" s="2" t="n"/>
      <c r="E33" s="129" t="n"/>
      <c r="F33" s="487" t="n"/>
      <c r="G33" s="382" t="n"/>
      <c r="H33" s="385" t="n"/>
      <c r="I33" s="384" t="n"/>
      <c r="J33" s="118" t="n"/>
      <c r="K33" s="489" t="n"/>
      <c r="L33" s="115">
        <f>H33*Q33</f>
        <v/>
      </c>
      <c r="M33" s="115">
        <f>I33*Q33</f>
        <v/>
      </c>
      <c r="N33" s="227" t="n"/>
      <c r="O33" s="490" t="n"/>
      <c r="P33" s="277" t="n">
        <v>1</v>
      </c>
      <c r="Q33" s="557" t="n">
        <v>0.18</v>
      </c>
      <c r="R33" s="558" t="n"/>
      <c r="S33" s="154" t="n">
        <v>45962</v>
      </c>
      <c r="T33" s="559" t="n"/>
      <c r="U33" s="100" t="n"/>
      <c r="V33" s="163" t="n">
        <v>46054</v>
      </c>
      <c r="W33" s="100" t="n"/>
      <c r="X33" s="575">
        <f>G33</f>
        <v/>
      </c>
      <c r="Y33" s="69" t="n"/>
      <c r="Z33" s="69" t="n"/>
      <c r="AA33" s="394" t="n"/>
      <c r="AB33" s="69" t="n"/>
      <c r="AC33" s="69" t="n"/>
      <c r="AD33" s="579" t="n"/>
      <c r="AE33" s="580" t="n"/>
      <c r="AF33" s="581" t="n"/>
      <c r="AG33" s="581" t="n"/>
      <c r="AH33" s="581" t="n"/>
      <c r="AI33" s="582" t="n"/>
      <c r="AJ33" s="69" t="n"/>
    </row>
    <row r="34" ht="15" customHeight="1" s="520">
      <c r="A34" s="130" t="n"/>
      <c r="B34" s="5" t="n"/>
      <c r="E34" s="129" t="n"/>
      <c r="F34" s="99" t="n"/>
      <c r="G34" s="140" t="n"/>
      <c r="H34" s="228" t="n"/>
      <c r="I34" s="271" t="n"/>
      <c r="J34" s="271" t="n"/>
      <c r="K34" s="489" t="n"/>
      <c r="L34" s="115">
        <f>H34*Q34</f>
        <v/>
      </c>
      <c r="M34" s="115">
        <f>I34*Q34</f>
        <v/>
      </c>
      <c r="N34" s="227">
        <f>+H34*Q34</f>
        <v/>
      </c>
      <c r="O34" s="490" t="n"/>
      <c r="P34" s="277" t="n">
        <v>1</v>
      </c>
      <c r="Q34" s="557" t="n">
        <v>0.2</v>
      </c>
      <c r="R34" s="558" t="n"/>
      <c r="S34" s="162" t="n">
        <v>45582</v>
      </c>
      <c r="T34" s="100" t="n"/>
      <c r="U34" s="100" t="n"/>
      <c r="V34" s="163" t="n">
        <v>45992</v>
      </c>
      <c r="W34" s="100" t="n"/>
      <c r="X34" s="575">
        <f>G34</f>
        <v/>
      </c>
      <c r="Y34" s="182" t="n"/>
      <c r="Z34" s="182" t="n"/>
      <c r="AA34" s="429" t="n"/>
      <c r="AB34" s="182" t="n"/>
      <c r="AC34" s="182" t="n"/>
      <c r="AD34" s="575" t="n"/>
      <c r="AE34" s="583" t="n"/>
      <c r="AF34" s="576" t="n"/>
      <c r="AG34" s="576" t="n"/>
      <c r="AH34" s="576">
        <f>+E34</f>
        <v/>
      </c>
      <c r="AI34" s="578" t="n"/>
      <c r="AJ34" s="69" t="n"/>
    </row>
    <row r="35" ht="15" customHeight="1" s="520">
      <c r="A35" s="130" t="n"/>
      <c r="B35" s="8" t="n"/>
      <c r="C35" s="8" t="n"/>
      <c r="D35" s="8" t="n"/>
      <c r="E35" s="129" t="n"/>
      <c r="F35" s="8" t="n"/>
      <c r="G35" s="382" t="n"/>
      <c r="H35" s="382" t="n"/>
      <c r="I35" s="424" t="n"/>
      <c r="J35" s="52" t="n"/>
      <c r="K35" s="115" t="n"/>
      <c r="L35" s="115">
        <f>H35*Q35</f>
        <v/>
      </c>
      <c r="M35" s="115">
        <f>I35*Q35</f>
        <v/>
      </c>
      <c r="N35" s="227">
        <f>J35*Q35</f>
        <v/>
      </c>
      <c r="O35" s="162" t="n"/>
      <c r="P35" s="210" t="n">
        <v>1</v>
      </c>
      <c r="Q35" s="574" t="n">
        <v>0.21</v>
      </c>
      <c r="R35" s="574" t="n"/>
      <c r="S35" s="154" t="n">
        <v>45839</v>
      </c>
      <c r="T35" s="148" t="n"/>
      <c r="U35" s="148" t="n"/>
      <c r="V35" s="155" t="n"/>
      <c r="W35" s="92" t="n"/>
      <c r="Y35" s="5" t="n"/>
      <c r="AD35" s="23" t="n"/>
      <c r="AE35" s="273" t="n"/>
      <c r="AF35" s="16" t="n"/>
      <c r="AG35" s="16" t="n"/>
      <c r="AH35" s="16" t="n"/>
      <c r="AI35" s="17" t="n"/>
    </row>
    <row r="36" ht="15" customHeight="1" s="520" thickBot="1">
      <c r="A36" s="2" t="n"/>
      <c r="B36" s="12" t="n"/>
      <c r="C36" s="8" t="n"/>
      <c r="D36" s="8" t="n"/>
      <c r="E36" s="129" t="n"/>
      <c r="F36" s="8" t="n"/>
      <c r="G36" s="257" t="n"/>
      <c r="H36" s="257" t="n"/>
      <c r="I36" s="40" t="n"/>
      <c r="J36" s="14" t="n"/>
      <c r="K36" s="5" t="n"/>
      <c r="L36" s="5" t="n"/>
      <c r="M36" s="5" t="n"/>
      <c r="N36" s="215">
        <f>+H36*Q36</f>
        <v/>
      </c>
      <c r="O36" s="172" t="n"/>
      <c r="Q36" s="557" t="n"/>
      <c r="R36" s="558" t="n"/>
      <c r="S36" s="154" t="n"/>
      <c r="T36" s="148" t="n"/>
      <c r="U36" s="148" t="n"/>
      <c r="V36" s="155" t="n"/>
      <c r="W36" s="584" t="n"/>
      <c r="X36" s="23" t="n"/>
      <c r="Y36" s="13" t="n"/>
      <c r="Z36" s="16" t="n"/>
      <c r="AA36" s="17" t="n"/>
      <c r="AD36" s="23" t="n"/>
      <c r="AE36" s="13" t="n"/>
      <c r="AF36" s="13" t="n"/>
      <c r="AG36" s="13" t="n"/>
      <c r="AH36" s="13" t="n"/>
      <c r="AI36" s="17" t="n"/>
      <c r="BC36" s="489">
        <f>SUM(AQ36:BB36)-I36</f>
        <v/>
      </c>
    </row>
    <row r="37" ht="15" customHeight="1" s="520" thickBot="1">
      <c r="A37" s="91" t="inlineStr">
        <is>
          <t xml:space="preserve">Sous total </t>
        </is>
      </c>
      <c r="B37" s="15" t="n"/>
      <c r="C37" s="15" t="n"/>
      <c r="D37" s="15" t="n"/>
      <c r="E37" s="129" t="n"/>
      <c r="F37" s="15" t="n"/>
      <c r="G37" s="263">
        <f>SUM(G4:G35)</f>
        <v/>
      </c>
      <c r="H37" s="119">
        <f>SUM(H4:H35)</f>
        <v/>
      </c>
      <c r="I37" s="119">
        <f>SUM(I4:I35)</f>
        <v/>
      </c>
      <c r="J37" s="120">
        <f>SUM(J4:J35)</f>
        <v/>
      </c>
      <c r="K37" s="115">
        <f>SUM(K4:K35)</f>
        <v/>
      </c>
      <c r="L37" s="119">
        <f>SUM(L4:L35)</f>
        <v/>
      </c>
      <c r="M37" s="119">
        <f>SUM(M4:M35)</f>
        <v/>
      </c>
      <c r="N37" s="585">
        <f>SUM(N4:N35)</f>
        <v/>
      </c>
      <c r="O37" s="172" t="n"/>
      <c r="Q37" s="557" t="n"/>
      <c r="R37" s="558" t="n"/>
      <c r="S37" s="154" t="n"/>
      <c r="T37" s="148" t="n"/>
      <c r="U37" s="148" t="n"/>
      <c r="V37" s="155" t="n"/>
      <c r="W37" s="92" t="n"/>
      <c r="X37" s="24" t="n"/>
      <c r="Y37" s="13" t="n"/>
      <c r="Z37" s="16" t="n"/>
      <c r="AA37" s="17" t="n"/>
      <c r="AD37" s="23" t="n"/>
      <c r="AE37" s="13" t="n"/>
      <c r="AF37" s="13" t="n"/>
      <c r="AG37" s="16" t="n"/>
      <c r="AH37" s="16" t="n"/>
      <c r="AI37" s="17" t="n"/>
      <c r="BC37" s="251">
        <f>SUM(AQ37:BB37)-I37</f>
        <v/>
      </c>
    </row>
    <row r="38" ht="15" customHeight="1" s="520">
      <c r="A38" s="11" t="n"/>
      <c r="B38" s="12" t="n"/>
      <c r="C38" s="8" t="n"/>
      <c r="D38" s="8" t="n"/>
      <c r="E38" s="129" t="n"/>
      <c r="F38" s="8" t="n"/>
      <c r="G38" s="264" t="n"/>
      <c r="H38" s="117" t="n"/>
      <c r="I38" s="118" t="n"/>
      <c r="J38" s="118" t="n"/>
      <c r="K38" s="115" t="n"/>
      <c r="L38" s="115" t="n"/>
      <c r="M38" s="210" t="n"/>
      <c r="N38" s="586">
        <f>+N37/H37</f>
        <v/>
      </c>
      <c r="O38" s="172" t="n"/>
      <c r="Q38" s="557" t="n"/>
      <c r="R38" s="558" t="n"/>
      <c r="S38" s="154" t="n"/>
      <c r="T38" s="148" t="n"/>
      <c r="U38" s="148" t="n"/>
      <c r="V38" s="155" t="n"/>
      <c r="W38" s="92" t="n"/>
      <c r="X38" s="24" t="n"/>
      <c r="Y38" s="13" t="n"/>
      <c r="Z38" s="16" t="n"/>
      <c r="AA38" s="17" t="n"/>
      <c r="AD38" s="23" t="n"/>
      <c r="AE38" s="13" t="n"/>
      <c r="AF38" s="13" t="n"/>
      <c r="AG38" s="16" t="n"/>
      <c r="AH38" s="16" t="n"/>
      <c r="AI38" s="17" t="n"/>
      <c r="BC38" s="489">
        <f>SUM(AQ38:BB38)-I38</f>
        <v/>
      </c>
    </row>
    <row r="39" ht="15" customHeight="1" s="520">
      <c r="A39" s="11" t="inlineStr">
        <is>
          <t>ADJUDICATIONS RECENTES NON PLANIFIEES</t>
        </is>
      </c>
      <c r="B39" s="12" t="n"/>
      <c r="C39" s="8" t="n"/>
      <c r="D39" s="8" t="n"/>
      <c r="E39" s="129" t="n"/>
      <c r="F39" s="8" t="n"/>
      <c r="G39" s="16" t="n"/>
      <c r="H39" s="117" t="n"/>
      <c r="I39" s="118" t="n"/>
      <c r="J39" s="118" t="n"/>
      <c r="K39" s="115" t="n"/>
      <c r="L39" s="115" t="n"/>
      <c r="M39" s="115" t="n"/>
      <c r="N39" s="227">
        <f>+H39*Q39</f>
        <v/>
      </c>
      <c r="O39" s="172" t="n"/>
      <c r="Q39" s="557" t="n"/>
      <c r="R39" s="558" t="n"/>
      <c r="S39" s="154" t="n"/>
      <c r="T39" s="148" t="n"/>
      <c r="U39" s="148" t="n"/>
      <c r="V39" s="155" t="n"/>
      <c r="W39" s="92" t="n"/>
      <c r="X39" s="23" t="n"/>
      <c r="Y39" s="16" t="n"/>
      <c r="Z39" s="16" t="n"/>
      <c r="AA39" s="17" t="n"/>
      <c r="AD39" s="23" t="n"/>
      <c r="AE39" s="13" t="n"/>
      <c r="AF39" s="13" t="n"/>
      <c r="AG39" s="16" t="n"/>
      <c r="AH39" s="16" t="n"/>
      <c r="AI39" s="17" t="n"/>
      <c r="BC39" s="115">
        <f>SUM(AQ39:BB39)-I39</f>
        <v/>
      </c>
    </row>
    <row r="40" ht="15" customFormat="1" customHeight="1" s="333">
      <c r="A40" s="421" t="inlineStr">
        <is>
          <t xml:space="preserve">refection terrasse </t>
        </is>
      </c>
      <c r="E40" s="422" t="inlineStr">
        <is>
          <t>BBBBB</t>
        </is>
      </c>
      <c r="F40" s="418" t="n"/>
      <c r="G40" s="366" t="n">
        <v>151294</v>
      </c>
      <c r="H40" s="368" t="n"/>
      <c r="I40" s="378">
        <f>+G40-H40</f>
        <v/>
      </c>
      <c r="J40" s="445" t="n"/>
      <c r="K40" s="371" t="n"/>
      <c r="L40" s="371">
        <f>H40*Q40</f>
        <v/>
      </c>
      <c r="M40" s="371">
        <f>I40*Q40</f>
        <v/>
      </c>
      <c r="N40" s="379">
        <f>+H40*Q40</f>
        <v/>
      </c>
      <c r="O40" s="338" t="n">
        <v>46034</v>
      </c>
      <c r="P40" s="423" t="n">
        <v>1</v>
      </c>
      <c r="Q40" s="587" t="n">
        <v>0.26</v>
      </c>
      <c r="R40" s="588" t="n">
        <v>0.26</v>
      </c>
      <c r="S40" s="338" t="n">
        <v>46113</v>
      </c>
      <c r="T40" s="335" t="n"/>
      <c r="U40" s="335" t="n"/>
      <c r="V40" s="336" t="inlineStr">
        <is>
          <t>01.16.2026</t>
        </is>
      </c>
      <c r="W40" s="335" t="n"/>
      <c r="X40" s="589">
        <f>G40</f>
        <v/>
      </c>
      <c r="Y40" s="449" t="n"/>
      <c r="Z40" s="449" t="n"/>
      <c r="AA40" s="450" t="n"/>
      <c r="AB40" s="449" t="n"/>
      <c r="AC40" s="449" t="n"/>
      <c r="AD40" s="589" t="n"/>
      <c r="AE40" s="590" t="n"/>
      <c r="AF40" s="590" t="n"/>
      <c r="AG40" s="590" t="n"/>
      <c r="AH40" s="590" t="n"/>
      <c r="AI40" s="591" t="n"/>
      <c r="AJ40" s="419" t="n"/>
    </row>
    <row r="41" ht="15" customFormat="1" customHeight="1" s="333">
      <c r="A41" s="370" t="inlineStr">
        <is>
          <t xml:space="preserve">Drize </t>
        </is>
      </c>
      <c r="B41" s="337" t="n"/>
      <c r="C41" s="337" t="n"/>
      <c r="D41" s="337" t="n"/>
      <c r="E41" s="334" t="inlineStr">
        <is>
          <t>CCCCC</t>
        </is>
      </c>
      <c r="F41" s="337" t="n"/>
      <c r="G41" s="368" t="n">
        <v>34690.1</v>
      </c>
      <c r="H41" s="368" t="n"/>
      <c r="I41" s="118">
        <f>G41</f>
        <v/>
      </c>
      <c r="J41" s="378" t="n"/>
      <c r="K41" s="371" t="n"/>
      <c r="L41" s="371">
        <f>H41*Q41</f>
        <v/>
      </c>
      <c r="M41" s="371">
        <f>I41*Q41</f>
        <v/>
      </c>
      <c r="N41" s="379">
        <f>J41*Q41</f>
        <v/>
      </c>
      <c r="O41" s="162" t="n">
        <v>45985</v>
      </c>
      <c r="P41" s="372" t="n">
        <v>1</v>
      </c>
      <c r="Q41" s="592" t="n">
        <v>0.28</v>
      </c>
      <c r="R41" s="592" t="n">
        <v>0.28</v>
      </c>
      <c r="S41" s="373" t="n">
        <v>46844</v>
      </c>
      <c r="T41" s="374" t="n"/>
      <c r="U41" s="374" t="n"/>
      <c r="V41" s="375" t="n">
        <v>47453</v>
      </c>
      <c r="W41" s="339" t="n"/>
      <c r="Y41" s="371" t="n"/>
      <c r="Z41" s="371">
        <f>I41</f>
        <v/>
      </c>
      <c r="AD41" s="381" t="n"/>
      <c r="AE41" s="376">
        <f>I41</f>
        <v/>
      </c>
      <c r="AF41" s="340" t="n"/>
      <c r="AG41" s="368" t="n"/>
      <c r="AH41" s="340" t="n"/>
      <c r="AI41" s="377" t="n"/>
    </row>
    <row r="42" ht="15" customHeight="1" s="520">
      <c r="A42" s="130" t="inlineStr">
        <is>
          <t xml:space="preserve">Place du CAS </t>
        </is>
      </c>
      <c r="B42" s="12" t="n"/>
      <c r="C42" s="8" t="n"/>
      <c r="D42" s="8" t="n"/>
      <c r="E42" s="345" t="inlineStr">
        <is>
          <t>DDDDD</t>
        </is>
      </c>
      <c r="F42" s="8" t="n"/>
      <c r="G42" s="140" t="n">
        <v>24472</v>
      </c>
      <c r="H42" s="140">
        <f>+G42*30%</f>
        <v/>
      </c>
      <c r="I42" s="228">
        <f>+G42-H42</f>
        <v/>
      </c>
      <c r="J42" s="52" t="n"/>
      <c r="K42" s="115" t="n"/>
      <c r="L42" s="115">
        <f>H42*Q42</f>
        <v/>
      </c>
      <c r="M42" s="115">
        <f>I42*Q42</f>
        <v/>
      </c>
      <c r="N42" s="227">
        <f>J42*Q42</f>
        <v/>
      </c>
      <c r="O42" s="162" t="n">
        <v>45951</v>
      </c>
      <c r="P42" s="210" t="n">
        <v>1</v>
      </c>
      <c r="Q42" s="574" t="n">
        <v>0.32</v>
      </c>
      <c r="R42" s="574" t="n">
        <v>0.32</v>
      </c>
      <c r="S42" s="154" t="n">
        <v>45962</v>
      </c>
      <c r="T42" s="148" t="n"/>
      <c r="U42" s="148" t="n"/>
      <c r="V42" s="155" t="n">
        <v>45992</v>
      </c>
      <c r="W42" s="99" t="n"/>
      <c r="X42" s="5" t="n"/>
      <c r="Y42" s="115" t="n"/>
      <c r="Z42" s="5">
        <f>G42</f>
        <v/>
      </c>
      <c r="AA42" s="69" t="n"/>
      <c r="AB42" s="69" t="n"/>
      <c r="AD42" s="23" t="n"/>
      <c r="AE42" s="273" t="n"/>
      <c r="AF42" s="140">
        <f>G42</f>
        <v/>
      </c>
      <c r="AG42" s="16" t="n"/>
      <c r="AH42" s="16" t="n"/>
      <c r="AI42" s="118" t="n"/>
    </row>
    <row r="43" ht="15" customHeight="1" s="520">
      <c r="A43" s="130" t="n"/>
      <c r="B43" s="5" t="n"/>
      <c r="E43" s="129" t="n"/>
      <c r="G43" s="140" t="n"/>
      <c r="H43" s="228" t="n"/>
      <c r="I43" s="118">
        <f>G43</f>
        <v/>
      </c>
      <c r="J43" s="271" t="n"/>
      <c r="K43" s="115" t="n"/>
      <c r="L43" s="115">
        <f>H43*Q43</f>
        <v/>
      </c>
      <c r="M43" s="115">
        <f>I43*Q43</f>
        <v/>
      </c>
      <c r="N43" s="227">
        <f>J43*Q43</f>
        <v/>
      </c>
      <c r="O43" s="172" t="n"/>
      <c r="P43" s="210" t="n">
        <v>0.5</v>
      </c>
      <c r="Q43" s="557" t="n">
        <v>0.3</v>
      </c>
      <c r="R43" s="558" t="n">
        <v>0.34</v>
      </c>
      <c r="S43" s="154" t="n">
        <v>46082</v>
      </c>
      <c r="T43" s="148" t="n"/>
      <c r="U43" s="148" t="n"/>
      <c r="V43" s="155" t="n">
        <v>46174</v>
      </c>
      <c r="W43" s="99" t="n"/>
      <c r="X43" s="24" t="n"/>
      <c r="Y43" s="13">
        <f>G43</f>
        <v/>
      </c>
      <c r="Z43" s="13" t="n"/>
      <c r="AA43" s="14" t="n"/>
      <c r="AB43" s="5" t="n"/>
      <c r="AC43" s="5" t="n"/>
      <c r="AD43" s="274">
        <f>G43</f>
        <v/>
      </c>
      <c r="AE43" s="13" t="n"/>
      <c r="AF43" s="16" t="n"/>
      <c r="AG43" s="16" t="n"/>
      <c r="AH43" s="16" t="n"/>
      <c r="AI43" s="14" t="n"/>
    </row>
    <row r="44" ht="15" customHeight="1" s="520">
      <c r="A44" s="113" t="n"/>
      <c r="E44" s="129" t="n"/>
      <c r="F44" s="487" t="n"/>
      <c r="G44" s="346" t="n"/>
      <c r="H44" s="491" t="n"/>
      <c r="I44" s="118">
        <f>G44*P44</f>
        <v/>
      </c>
      <c r="J44" s="492" t="n"/>
      <c r="K44" s="489" t="inlineStr">
        <is>
          <t>*</t>
        </is>
      </c>
      <c r="L44" s="115">
        <f>H44*Q44</f>
        <v/>
      </c>
      <c r="M44" s="115">
        <f>I44*Q44</f>
        <v/>
      </c>
      <c r="N44" s="227" t="n"/>
      <c r="O44" s="490" t="n"/>
      <c r="P44" s="277" t="n">
        <v>0.6</v>
      </c>
      <c r="Q44" s="557" t="n">
        <v>0.15</v>
      </c>
      <c r="R44" s="593" t="n">
        <v>0.175</v>
      </c>
      <c r="S44" s="154" t="n">
        <v>45931</v>
      </c>
      <c r="T44" s="559" t="n"/>
      <c r="U44" s="100" t="n"/>
      <c r="V44" s="163" t="n">
        <v>46327</v>
      </c>
      <c r="W44" s="100" t="n"/>
      <c r="X44" s="564">
        <f>G44</f>
        <v/>
      </c>
      <c r="Y44" s="69" t="n"/>
      <c r="Z44" s="69" t="n"/>
      <c r="AA44" s="69" t="n"/>
      <c r="AB44" s="69" t="n"/>
      <c r="AC44" s="69" t="n"/>
      <c r="AD44" s="562">
        <f>G44</f>
        <v/>
      </c>
      <c r="AE44" s="562" t="n"/>
      <c r="AF44" s="562" t="n"/>
      <c r="AG44" s="562" t="n"/>
      <c r="AH44" s="562" t="n"/>
      <c r="AI44" s="562" t="n"/>
      <c r="AJ44" s="69" t="n"/>
    </row>
    <row r="45" ht="15" customHeight="1" s="520">
      <c r="A45" s="113" t="n"/>
      <c r="E45" s="129" t="n"/>
      <c r="F45" s="487" t="n"/>
      <c r="G45" s="348" t="n"/>
      <c r="H45" s="140" t="n"/>
      <c r="I45" s="118">
        <f>G45*P45</f>
        <v/>
      </c>
      <c r="J45" s="492" t="n"/>
      <c r="K45" s="489" t="n"/>
      <c r="L45" s="115">
        <f>H45*Q45</f>
        <v/>
      </c>
      <c r="M45" s="115">
        <f>I45*Q45</f>
        <v/>
      </c>
      <c r="N45" s="227" t="n"/>
      <c r="O45" s="490" t="n"/>
      <c r="P45" s="277" t="n">
        <v>1</v>
      </c>
      <c r="Q45" s="557" t="n">
        <v>0.21</v>
      </c>
      <c r="R45" s="558" t="n">
        <v>0.24</v>
      </c>
      <c r="S45" s="154" t="n">
        <v>46296</v>
      </c>
      <c r="T45" s="559" t="n"/>
      <c r="U45" s="100" t="n"/>
      <c r="V45" s="163" t="n">
        <v>46478</v>
      </c>
      <c r="W45" s="100" t="n"/>
      <c r="X45" s="564">
        <f>G45</f>
        <v/>
      </c>
      <c r="Y45" s="69" t="n"/>
      <c r="Z45" s="69" t="n"/>
      <c r="AA45" s="69" t="n"/>
      <c r="AB45" s="69" t="n"/>
      <c r="AC45" s="69" t="n"/>
      <c r="AD45" s="562" t="n"/>
      <c r="AE45" s="562" t="n"/>
      <c r="AF45" s="567">
        <f>G45</f>
        <v/>
      </c>
      <c r="AG45" s="562" t="n"/>
      <c r="AH45" s="562" t="n"/>
      <c r="AI45" s="562" t="n"/>
      <c r="AJ45" s="69" t="n"/>
    </row>
    <row r="46" ht="15" customHeight="1" s="520">
      <c r="A46" s="113" t="n"/>
      <c r="F46" s="487" t="n"/>
      <c r="G46" s="348" t="n"/>
      <c r="H46" s="491" t="n"/>
      <c r="I46" s="228">
        <f>G46*P46*1</f>
        <v/>
      </c>
      <c r="J46" s="271" t="n"/>
      <c r="K46" s="489" t="n"/>
      <c r="L46" s="115">
        <f>H46*Q46</f>
        <v/>
      </c>
      <c r="M46" s="115">
        <f>I46*Q46</f>
        <v/>
      </c>
      <c r="N46" s="227" t="n"/>
      <c r="O46" s="490" t="n"/>
      <c r="P46" s="277" t="n">
        <v>1</v>
      </c>
      <c r="Q46" s="557" t="n">
        <v>0.22</v>
      </c>
      <c r="R46" s="558" t="n"/>
      <c r="S46" s="154" t="n">
        <v>46023</v>
      </c>
      <c r="T46" s="559" t="n"/>
      <c r="U46" s="100" t="n"/>
      <c r="V46" s="163" t="n">
        <v>46174</v>
      </c>
      <c r="W46" s="100" t="n"/>
      <c r="X46" s="564">
        <f>G46</f>
        <v/>
      </c>
      <c r="Y46" s="69" t="n"/>
      <c r="Z46" s="69" t="n"/>
      <c r="AA46" s="69" t="n"/>
      <c r="AB46" s="69" t="n"/>
      <c r="AC46" s="69" t="n"/>
      <c r="AD46" s="562" t="n"/>
      <c r="AE46" s="562" t="n"/>
      <c r="AF46" s="562">
        <f>G46</f>
        <v/>
      </c>
      <c r="AG46" s="562" t="n"/>
      <c r="AH46" s="562" t="n"/>
      <c r="AI46" s="562" t="n"/>
      <c r="AJ46" s="69" t="n"/>
    </row>
    <row r="47" ht="15" customHeight="1" s="520">
      <c r="A47" s="113" t="n"/>
      <c r="E47" s="200" t="n"/>
      <c r="F47" s="99" t="n"/>
      <c r="G47" s="346" t="n"/>
      <c r="H47" s="117" t="n"/>
      <c r="I47" s="118">
        <f>G47-H47</f>
        <v/>
      </c>
      <c r="J47" s="118" t="n"/>
      <c r="K47" s="115" t="n"/>
      <c r="L47" s="115">
        <f>H47*Q47</f>
        <v/>
      </c>
      <c r="M47" s="115">
        <f>I47*Q47</f>
        <v/>
      </c>
      <c r="N47" s="227">
        <f>J47*Q47</f>
        <v/>
      </c>
      <c r="O47" s="162" t="n">
        <v>45469</v>
      </c>
      <c r="P47" s="277" t="n">
        <v>1</v>
      </c>
      <c r="Q47" s="557" t="n">
        <v>0.23</v>
      </c>
      <c r="R47" s="558" t="n"/>
      <c r="S47" s="162" t="n">
        <v>45778</v>
      </c>
      <c r="T47" s="559" t="n"/>
      <c r="U47" s="100" t="n"/>
      <c r="V47" s="163" t="n">
        <v>45992</v>
      </c>
      <c r="W47" s="100" t="n"/>
      <c r="X47" s="560">
        <f>G47</f>
        <v/>
      </c>
      <c r="Y47" s="182" t="n"/>
      <c r="Z47" s="182" t="n"/>
      <c r="AA47" s="288" t="n"/>
      <c r="AB47" s="182" t="n"/>
      <c r="AC47" s="182" t="n"/>
      <c r="AD47" s="560" t="n"/>
      <c r="AE47" s="564" t="n"/>
      <c r="AF47" s="564">
        <f>G47</f>
        <v/>
      </c>
      <c r="AG47" s="564" t="n"/>
      <c r="AH47" s="564" t="n"/>
      <c r="AI47" s="565" t="n"/>
      <c r="AJ47" s="69" t="n"/>
    </row>
    <row r="48" ht="15" customHeight="1" s="520">
      <c r="A48" s="130" t="n"/>
      <c r="B48" s="8" t="n"/>
      <c r="C48" s="8" t="n"/>
      <c r="D48" s="8" t="n"/>
      <c r="E48" s="129" t="n"/>
      <c r="F48" s="8" t="n"/>
      <c r="G48" s="140" t="n"/>
      <c r="H48" s="228" t="n"/>
      <c r="I48" s="118" t="n"/>
      <c r="J48" s="52" t="n"/>
      <c r="L48" s="115">
        <f>H48*Q48</f>
        <v/>
      </c>
      <c r="M48" s="115">
        <f>I48*Q48</f>
        <v/>
      </c>
      <c r="N48" s="227">
        <f>J48*Q48</f>
        <v/>
      </c>
      <c r="O48" s="162" t="n"/>
      <c r="P48" s="210" t="n">
        <v>1</v>
      </c>
      <c r="Q48" s="566" t="n">
        <v>0.3</v>
      </c>
      <c r="R48" s="574" t="n"/>
      <c r="S48" s="154" t="n">
        <v>45748</v>
      </c>
      <c r="T48" s="148" t="n"/>
      <c r="U48" s="148" t="n"/>
      <c r="V48" s="155" t="n">
        <v>45809</v>
      </c>
      <c r="W48" s="92" t="n"/>
      <c r="X48" s="24" t="n"/>
      <c r="Y48" s="5">
        <f>G48</f>
        <v/>
      </c>
      <c r="Z48" s="16" t="n"/>
      <c r="AA48" s="17" t="n"/>
      <c r="AD48" s="23" t="n"/>
      <c r="AE48" s="90" t="n"/>
      <c r="AF48" s="16" t="n"/>
      <c r="AG48" s="13">
        <f>G48</f>
        <v/>
      </c>
      <c r="AH48" s="16" t="n"/>
      <c r="AI48" s="17" t="n"/>
    </row>
    <row r="49" ht="15" customHeight="1" s="520">
      <c r="A49" s="11" t="n"/>
      <c r="B49" s="15" t="n"/>
      <c r="C49" s="15" t="n"/>
      <c r="D49" s="15" t="n"/>
      <c r="E49" s="129" t="n"/>
      <c r="F49" s="15" t="n"/>
      <c r="G49" s="264" t="n"/>
      <c r="H49" s="117" t="n"/>
      <c r="I49" s="118" t="n"/>
      <c r="J49" s="118" t="n"/>
      <c r="K49" s="115" t="n"/>
      <c r="L49" s="115" t="n"/>
      <c r="M49" s="115" t="n"/>
      <c r="N49" s="227" t="n"/>
      <c r="O49" s="172" t="n"/>
      <c r="Q49" s="207" t="n"/>
      <c r="R49" s="244" t="n"/>
      <c r="S49" s="154" t="n"/>
      <c r="T49" s="148" t="n"/>
      <c r="U49" s="148" t="n"/>
      <c r="V49" s="155" t="n"/>
      <c r="W49" s="92" t="n"/>
      <c r="X49" s="23" t="n"/>
      <c r="Y49" s="16" t="n"/>
      <c r="Z49" s="16" t="n"/>
      <c r="AA49" s="17" t="n"/>
      <c r="AD49" s="23" t="n"/>
      <c r="AE49" s="13" t="n"/>
      <c r="AF49" s="5" t="n"/>
      <c r="AG49" s="22" t="n"/>
      <c r="AH49" s="22" t="n"/>
      <c r="AI49" s="17" t="n"/>
      <c r="BC49" s="115">
        <f>SUM(AQ49:BB49)-I49</f>
        <v/>
      </c>
    </row>
    <row r="50" ht="15" customHeight="1" s="520">
      <c r="A50" s="91" t="inlineStr">
        <is>
          <t xml:space="preserve">Sous total </t>
        </is>
      </c>
      <c r="B50" s="15" t="n"/>
      <c r="C50" s="15" t="n"/>
      <c r="D50" s="15" t="n"/>
      <c r="E50" s="129" t="n"/>
      <c r="F50" s="15" t="n"/>
      <c r="G50" s="263">
        <f>SUM(G39:G49)</f>
        <v/>
      </c>
      <c r="H50" s="119">
        <f>SUM(H39:H49)</f>
        <v/>
      </c>
      <c r="I50" s="119">
        <f>SUM(I39:I49)</f>
        <v/>
      </c>
      <c r="J50" s="120">
        <f>SUM(J39:J49)</f>
        <v/>
      </c>
      <c r="K50" s="115" t="n"/>
      <c r="L50" s="119">
        <f>SUM(L39:L49)</f>
        <v/>
      </c>
      <c r="M50" s="119">
        <f>SUM(M39:M49)</f>
        <v/>
      </c>
      <c r="N50" s="227">
        <f>SUM(L38:L48)</f>
        <v/>
      </c>
      <c r="O50" s="172" t="n"/>
      <c r="Q50" s="207" t="n"/>
      <c r="R50" s="244" t="n"/>
      <c r="S50" s="154" t="n"/>
      <c r="T50" s="148" t="n"/>
      <c r="U50" s="148" t="n"/>
      <c r="V50" s="155" t="n"/>
      <c r="W50" s="92" t="n"/>
      <c r="X50" s="23" t="n"/>
      <c r="Y50" s="16" t="n"/>
      <c r="Z50" s="16" t="n"/>
      <c r="AA50" s="17" t="n"/>
      <c r="AD50" s="23" t="n"/>
      <c r="AE50" s="13" t="n"/>
      <c r="AF50" s="5" t="n"/>
      <c r="AG50" s="22" t="n"/>
      <c r="AH50" s="22" t="n"/>
      <c r="AI50" s="17" t="n"/>
      <c r="BC50" s="115">
        <f>SUM(AQ50:BB50)-I50</f>
        <v/>
      </c>
    </row>
    <row r="51" ht="15" customHeight="1" s="520" thickBot="1">
      <c r="A51" s="11" t="n"/>
      <c r="B51" s="15" t="n"/>
      <c r="C51" s="15" t="n"/>
      <c r="D51" s="15" t="n"/>
      <c r="E51" s="129" t="n"/>
      <c r="F51" s="15" t="n"/>
      <c r="G51" s="264" t="n"/>
      <c r="H51" s="121" t="n"/>
      <c r="I51" s="122" t="n"/>
      <c r="J51" s="122" t="n"/>
      <c r="K51" s="115" t="n"/>
      <c r="L51" s="115" t="n"/>
      <c r="M51" s="115" t="n"/>
      <c r="N51" s="227" t="n"/>
      <c r="O51" s="172" t="n"/>
      <c r="Q51" s="207" t="n"/>
      <c r="R51" s="244" t="n"/>
      <c r="S51" s="154" t="n"/>
      <c r="T51" s="148" t="n"/>
      <c r="U51" s="148" t="n"/>
      <c r="V51" s="155" t="n"/>
      <c r="W51" s="92" t="n"/>
      <c r="X51" s="289" t="n"/>
      <c r="Y51" s="290" t="n"/>
      <c r="Z51" s="290" t="n"/>
      <c r="AA51" s="291" t="n"/>
      <c r="AD51" s="289" t="n"/>
      <c r="AE51" s="290" t="n"/>
      <c r="AF51" s="290" t="n"/>
      <c r="AG51" s="133" t="n"/>
      <c r="AH51" s="296" t="n"/>
      <c r="AI51" s="291" t="n"/>
      <c r="BC51" s="115">
        <f>SUM(AQ51:BB51)-I51</f>
        <v/>
      </c>
    </row>
    <row r="52" ht="15" customFormat="1" customHeight="1" s="8" thickBot="1">
      <c r="A52" s="19" t="inlineStr">
        <is>
          <t>ESTIMATION  CHIFFRE D'AFFAIRE RESTANT</t>
        </is>
      </c>
      <c r="B52" s="7">
        <f>SUM(#REF!)</f>
        <v/>
      </c>
      <c r="C52" s="7">
        <f>SUM(#REF!)</f>
        <v/>
      </c>
      <c r="D52" s="7">
        <f>SUM(#REF!)</f>
        <v/>
      </c>
      <c r="E52" s="253" t="n"/>
      <c r="F52" s="135" t="n"/>
      <c r="G52" s="265">
        <f>G37+G50</f>
        <v/>
      </c>
      <c r="H52" s="136">
        <f>H37+H50</f>
        <v/>
      </c>
      <c r="I52" s="136">
        <f>I37+I50</f>
        <v/>
      </c>
      <c r="J52" s="123">
        <f>J37+J50</f>
        <v/>
      </c>
      <c r="K52" s="230">
        <f>K37+K50</f>
        <v/>
      </c>
      <c r="L52" s="230">
        <f>L37+L50</f>
        <v/>
      </c>
      <c r="M52" s="230">
        <f>M37+M50</f>
        <v/>
      </c>
      <c r="N52" s="227">
        <f>N37+N50</f>
        <v/>
      </c>
      <c r="O52" s="174" t="n"/>
      <c r="P52" s="144" t="n"/>
      <c r="Q52" s="207" t="n"/>
      <c r="R52" s="244" t="n"/>
      <c r="S52" s="154" t="n"/>
      <c r="T52" s="148" t="n"/>
      <c r="U52" s="148" t="n"/>
      <c r="V52" s="155" t="n"/>
      <c r="W52" s="92" t="n"/>
      <c r="X52" s="286">
        <f>SUM(X4:X49)</f>
        <v/>
      </c>
      <c r="Y52" s="286">
        <f>SUM(Y4:Y49)</f>
        <v/>
      </c>
      <c r="Z52" s="286">
        <f>SUM(Z4:Z49)</f>
        <v/>
      </c>
      <c r="AA52" s="286">
        <f>SUM(AA21:AA49)</f>
        <v/>
      </c>
      <c r="AB52" s="76">
        <f>SUM(X52:AA52)</f>
        <v/>
      </c>
      <c r="AC52" s="77" t="n"/>
      <c r="AD52" s="286">
        <f>SUM(AD21:AD49)</f>
        <v/>
      </c>
      <c r="AE52" s="286">
        <f>SUM(AE21:AE49)</f>
        <v/>
      </c>
      <c r="AF52" s="286">
        <f>SUM(AF21:AF49)</f>
        <v/>
      </c>
      <c r="AG52" s="286">
        <f>SUM(AG21:AG49)</f>
        <v/>
      </c>
      <c r="AH52" s="286">
        <f>SUM(AH21:AH49)</f>
        <v/>
      </c>
      <c r="AI52" s="286">
        <f>SUM(AI21:AI49)</f>
        <v/>
      </c>
      <c r="AJ52" s="28">
        <f>SUM(AD52:AI52)</f>
        <v/>
      </c>
      <c r="AK52" s="76">
        <f>SUM(AD52:AI52)</f>
        <v/>
      </c>
    </row>
    <row r="53" ht="15" customHeight="1" s="520" thickBot="1">
      <c r="A53" s="108" t="n"/>
      <c r="B53" s="109" t="n"/>
      <c r="C53" s="109" t="n"/>
      <c r="D53" s="109" t="n"/>
      <c r="E53" s="201" t="n"/>
      <c r="F53" s="133" t="n"/>
      <c r="G53" s="134" t="n"/>
      <c r="H53" s="110" t="n"/>
      <c r="I53" s="111" t="n"/>
      <c r="J53" s="111" t="n"/>
      <c r="K53" s="5" t="n"/>
      <c r="L53" s="586">
        <f>+L52/H52</f>
        <v/>
      </c>
      <c r="M53" s="586">
        <f>+M52/I52</f>
        <v/>
      </c>
      <c r="N53" s="238">
        <f>+N52/H52</f>
        <v/>
      </c>
      <c r="O53" s="174" t="n"/>
      <c r="P53" s="176" t="n"/>
      <c r="Q53" s="207" t="n"/>
      <c r="R53" s="244" t="n"/>
      <c r="S53" s="154" t="n"/>
      <c r="T53" s="148" t="n"/>
      <c r="U53" s="148" t="n"/>
      <c r="V53" s="155" t="n"/>
      <c r="W53" s="92" t="n"/>
      <c r="X53" s="85">
        <f>X52/$AB52</f>
        <v/>
      </c>
      <c r="Y53" s="85">
        <f>Y52/$AB52</f>
        <v/>
      </c>
      <c r="Z53" s="85">
        <f>Z52/$AB52</f>
        <v/>
      </c>
      <c r="AA53" s="85">
        <f>AA52/$AB52</f>
        <v/>
      </c>
      <c r="AB53" s="72">
        <f>SUM(X53:AA53)</f>
        <v/>
      </c>
      <c r="AC53" s="69" t="n"/>
      <c r="AD53" s="85">
        <f>AD52/$AK52</f>
        <v/>
      </c>
      <c r="AE53" s="85">
        <f>AE52/$AK52</f>
        <v/>
      </c>
      <c r="AF53" s="85">
        <f>AF52/$AK52</f>
        <v/>
      </c>
      <c r="AG53" s="85">
        <f>AG52/$AK52</f>
        <v/>
      </c>
      <c r="AH53" s="85">
        <f>AH52/$AK52</f>
        <v/>
      </c>
      <c r="AI53" s="85">
        <f>AI52/$AK52</f>
        <v/>
      </c>
      <c r="AJ53" s="85">
        <f>AJ52/$AK52</f>
        <v/>
      </c>
      <c r="AK53" s="72">
        <f>SUM(AD53:AI53)</f>
        <v/>
      </c>
    </row>
    <row r="54" ht="21" customFormat="1" customHeight="1" s="508">
      <c r="A54" s="517" t="inlineStr">
        <is>
          <t>PREADUDICATION EN COURS (à confirmer)</t>
        </is>
      </c>
      <c r="B54" s="505" t="n"/>
      <c r="C54" s="505" t="n"/>
      <c r="D54" s="505" t="n"/>
      <c r="E54" s="505" t="n"/>
      <c r="F54" s="505" t="n"/>
      <c r="G54" s="505" t="n"/>
      <c r="H54" s="505" t="n"/>
      <c r="I54" s="505" t="n"/>
      <c r="J54" s="258" t="n"/>
      <c r="K54" s="231" t="n"/>
      <c r="L54" s="231" t="n"/>
      <c r="M54" s="231" t="n"/>
      <c r="N54" s="215" t="n"/>
      <c r="O54" s="177" t="n"/>
      <c r="P54" s="178" t="n"/>
      <c r="Q54" s="208" t="n"/>
      <c r="R54" s="245" t="n"/>
      <c r="S54" s="156" t="n"/>
      <c r="T54" s="149" t="n"/>
      <c r="U54" s="149" t="n"/>
      <c r="V54" s="157" t="n"/>
      <c r="W54" s="93" t="n"/>
      <c r="X54" s="504" t="inlineStr">
        <is>
          <t>REPARTITION PAR TYPE D'ADUDICATION</t>
        </is>
      </c>
      <c r="Y54" s="505" t="n"/>
      <c r="Z54" s="505" t="n"/>
      <c r="AA54" s="506" t="n"/>
      <c r="AB54" s="75" t="n"/>
      <c r="AC54" s="75" t="n"/>
      <c r="AD54" s="504" t="inlineStr">
        <is>
          <t>REPARTITION PAR CATEGORIE D'OUVRAGE</t>
        </is>
      </c>
      <c r="AE54" s="505" t="n"/>
      <c r="AF54" s="505" t="n"/>
      <c r="AG54" s="505" t="n"/>
      <c r="AH54" s="505" t="n"/>
      <c r="AI54" s="506" t="n"/>
    </row>
    <row r="55" ht="15" customHeight="1" s="520" thickBot="1">
      <c r="A55" s="2" t="n"/>
      <c r="E55" s="129" t="n"/>
      <c r="G55" s="5" t="n"/>
      <c r="H55" s="21" t="n"/>
      <c r="I55" s="14" t="n"/>
      <c r="J55" s="14" t="n"/>
      <c r="K55" s="5" t="n"/>
      <c r="L55" s="5" t="n"/>
      <c r="M55" s="5" t="n"/>
      <c r="O55" s="180" t="n"/>
      <c r="Q55" s="207" t="n"/>
      <c r="R55" s="244" t="n"/>
      <c r="S55" s="154" t="n"/>
      <c r="T55" s="148" t="n"/>
      <c r="U55" s="148" t="n"/>
      <c r="V55" s="155" t="n"/>
      <c r="W55" s="92" t="n"/>
      <c r="X55" s="2" t="n"/>
      <c r="AA55" s="52" t="n"/>
      <c r="AD55" s="2" t="n"/>
      <c r="AI55" s="52" t="n"/>
    </row>
    <row r="56" ht="15" customFormat="1" customHeight="1" s="508">
      <c r="A56" s="44" t="inlineStr">
        <is>
          <t>Nom du chantier</t>
        </is>
      </c>
      <c r="B56" s="45" t="inlineStr">
        <is>
          <t>Maçonnerie</t>
        </is>
      </c>
      <c r="C56" s="45" t="inlineStr">
        <is>
          <t>Jardinage</t>
        </is>
      </c>
      <c r="D56" s="45" t="inlineStr">
        <is>
          <t>Entretien</t>
        </is>
      </c>
      <c r="E56" s="137" t="n"/>
      <c r="F56" s="138" t="n"/>
      <c r="G56" s="139" t="inlineStr">
        <is>
          <t xml:space="preserve">Total restant </t>
        </is>
      </c>
      <c r="H56" s="47" t="inlineStr">
        <is>
          <t>Planning 2025</t>
        </is>
      </c>
      <c r="I56" s="48" t="inlineStr">
        <is>
          <t>planning 2026</t>
        </is>
      </c>
      <c r="J56" s="48" t="inlineStr">
        <is>
          <t>planning 2027</t>
        </is>
      </c>
      <c r="K56" s="101" t="n"/>
      <c r="L56" s="101" t="n"/>
      <c r="M56" s="101" t="n"/>
      <c r="N56" s="215" t="n"/>
      <c r="O56" s="169" t="n"/>
      <c r="P56" s="181" t="n"/>
      <c r="Q56" s="209" t="n"/>
      <c r="R56" s="246" t="n"/>
      <c r="S56" s="158" t="n"/>
      <c r="T56" s="150" t="n"/>
      <c r="U56" s="150" t="n"/>
      <c r="V56" s="159" t="n"/>
      <c r="W56" s="98" t="n"/>
      <c r="X56" s="63" t="inlineStr">
        <is>
          <t>SOUMISSION</t>
        </is>
      </c>
      <c r="Y56" s="70" t="inlineStr">
        <is>
          <t>DEVIS Gré à gré</t>
        </is>
      </c>
      <c r="Z56" s="70" t="inlineStr">
        <is>
          <t xml:space="preserve">DEVIS Mis en conccurence </t>
        </is>
      </c>
      <c r="AA56" s="71" t="inlineStr">
        <is>
          <t>DEVIS Concours d'étude</t>
        </is>
      </c>
      <c r="AB56" s="53" t="n"/>
      <c r="AC56" s="53" t="n"/>
      <c r="AD56" s="64" t="inlineStr">
        <is>
          <t>JARDIN PRIVE</t>
        </is>
      </c>
      <c r="AE56" s="65" t="inlineStr">
        <is>
          <t>LOGEMENTS COLLECTIFS</t>
        </is>
      </c>
      <c r="AF56" s="65" t="inlineStr">
        <is>
          <t>ESPACE PUBLIC</t>
        </is>
      </c>
      <c r="AG56" s="65" t="inlineStr">
        <is>
          <t>BUREAUX/ ENTREPRISES</t>
        </is>
      </c>
      <c r="AH56" s="65" t="inlineStr">
        <is>
          <t>ORG. INTERNATIONAUX</t>
        </is>
      </c>
      <c r="AI56" s="66" t="inlineStr">
        <is>
          <t>AUTRES</t>
        </is>
      </c>
    </row>
    <row r="57" ht="15" customFormat="1" customHeight="1" s="508">
      <c r="A57" s="129" t="n"/>
      <c r="E57" s="129" t="n"/>
      <c r="G57" s="303" t="n"/>
      <c r="H57" s="101" t="n"/>
      <c r="I57" s="101" t="n"/>
      <c r="J57" s="102" t="n"/>
      <c r="K57" s="101" t="n"/>
      <c r="L57" s="101" t="n"/>
      <c r="M57" s="101" t="n"/>
      <c r="N57" s="215" t="n"/>
      <c r="O57" s="169" t="n"/>
      <c r="P57" s="181" t="n"/>
      <c r="Q57" s="209" t="n"/>
      <c r="R57" s="246" t="n"/>
      <c r="S57" s="158" t="n"/>
      <c r="T57" s="150" t="n"/>
      <c r="U57" s="150" t="n"/>
      <c r="V57" s="159" t="n"/>
      <c r="W57" s="98" t="n"/>
      <c r="X57" s="304" t="n"/>
      <c r="Y57" s="310" t="n"/>
      <c r="Z57" s="310" t="n"/>
      <c r="AA57" s="305" t="n"/>
      <c r="AB57" s="53" t="n"/>
      <c r="AC57" s="53" t="n"/>
      <c r="AD57" s="306" t="n"/>
      <c r="AE57" s="307" t="n"/>
      <c r="AF57" s="308" t="n"/>
      <c r="AG57" s="308" t="n"/>
      <c r="AH57" s="308" t="n"/>
      <c r="AI57" s="309" t="n"/>
    </row>
    <row r="58" ht="15" customHeight="1" s="520">
      <c r="A58" s="130" t="inlineStr">
        <is>
          <t>MONTFLEURY</t>
        </is>
      </c>
      <c r="B58" s="12" t="n"/>
      <c r="C58" s="8" t="n"/>
      <c r="D58" s="8" t="n"/>
      <c r="E58" s="345" t="inlineStr">
        <is>
          <t>ZZZZZ</t>
        </is>
      </c>
      <c r="F58" s="8" t="n"/>
      <c r="G58" s="382" t="n">
        <v>294000</v>
      </c>
      <c r="H58" s="385" t="n"/>
      <c r="I58" s="383" t="n">
        <v>50000</v>
      </c>
      <c r="J58" s="383">
        <f>G58-I58-H58</f>
        <v/>
      </c>
      <c r="K58" s="115" t="n"/>
      <c r="L58" s="115">
        <f>H58*Q58</f>
        <v/>
      </c>
      <c r="M58" s="115">
        <f>I58*Q58</f>
        <v/>
      </c>
      <c r="N58" s="227">
        <f>J58*Q58</f>
        <v/>
      </c>
      <c r="O58" s="183" t="n">
        <v>45985</v>
      </c>
      <c r="P58" s="210" t="n">
        <v>1</v>
      </c>
      <c r="Q58" s="574" t="n">
        <v>0.21</v>
      </c>
      <c r="R58" s="574" t="n">
        <v>0.21</v>
      </c>
      <c r="S58" s="154" t="n">
        <v>46327</v>
      </c>
      <c r="T58" s="148" t="n"/>
      <c r="U58" s="148" t="n"/>
      <c r="V58" s="155" t="n">
        <v>46082</v>
      </c>
      <c r="W58" s="99" t="n"/>
      <c r="X58" s="5" t="n"/>
      <c r="Z58" s="5">
        <f>G58</f>
        <v/>
      </c>
      <c r="AA58" s="69" t="n"/>
      <c r="AB58" s="69" t="n"/>
      <c r="AD58" s="23" t="n"/>
      <c r="AE58" s="273" t="n"/>
      <c r="AF58" s="140">
        <f>G58</f>
        <v/>
      </c>
      <c r="AG58" s="16" t="n"/>
      <c r="AH58" s="16" t="n"/>
      <c r="AI58" s="118" t="n"/>
    </row>
    <row r="59" ht="15" customHeight="1" s="520">
      <c r="A59" s="130" t="inlineStr">
        <is>
          <t>bosquet</t>
        </is>
      </c>
      <c r="B59" s="8" t="n"/>
      <c r="C59" s="8" t="n"/>
      <c r="D59" s="8" t="n"/>
      <c r="E59" s="129" t="inlineStr">
        <is>
          <t>FFFFF</t>
        </is>
      </c>
      <c r="F59" s="8" t="n"/>
      <c r="G59" s="140" t="n">
        <v>34690</v>
      </c>
      <c r="H59" s="228" t="n"/>
      <c r="I59" s="228">
        <f>G59*P59</f>
        <v/>
      </c>
      <c r="J59" s="52" t="n"/>
      <c r="K59" s="115" t="n"/>
      <c r="L59" s="115">
        <f>H59*Q59</f>
        <v/>
      </c>
      <c r="M59" s="115">
        <f>I59*Q59</f>
        <v/>
      </c>
      <c r="N59" s="227">
        <f>J59*Q59</f>
        <v/>
      </c>
      <c r="O59" s="162" t="n"/>
      <c r="P59" s="210" t="n">
        <v>1</v>
      </c>
      <c r="Q59" s="566" t="n">
        <v>0.28</v>
      </c>
      <c r="R59" s="574" t="n">
        <v>0.33</v>
      </c>
      <c r="S59" s="154" t="n">
        <v>46054</v>
      </c>
      <c r="T59" s="148" t="n"/>
      <c r="U59" s="148" t="n"/>
      <c r="V59" s="155" t="n">
        <v>46113</v>
      </c>
      <c r="W59" s="92" t="n"/>
      <c r="X59" s="24" t="n"/>
      <c r="Y59" s="115">
        <f>G59</f>
        <v/>
      </c>
      <c r="Z59" s="115" t="n"/>
      <c r="AA59" s="17" t="n"/>
      <c r="AD59" s="23" t="n"/>
      <c r="AE59" s="273">
        <f>G59</f>
        <v/>
      </c>
      <c r="AF59" s="16" t="n"/>
      <c r="AG59" s="140" t="n"/>
      <c r="AH59" s="16" t="n"/>
      <c r="AI59" s="118" t="n"/>
    </row>
    <row r="60" ht="15" customHeight="1" s="520">
      <c r="A60" s="493" t="inlineStr">
        <is>
          <t xml:space="preserve">PRE GENTIL </t>
        </is>
      </c>
      <c r="B60" s="8" t="n"/>
      <c r="C60" s="8" t="n"/>
      <c r="D60" s="8" t="n"/>
      <c r="E60" s="508" t="inlineStr">
        <is>
          <t>DDDDD</t>
        </is>
      </c>
      <c r="F60" s="8" t="n"/>
      <c r="G60" s="140" t="n">
        <v>546052</v>
      </c>
      <c r="H60" s="228" t="n">
        <v>0</v>
      </c>
      <c r="I60" s="118">
        <f>G60*P60*0.8</f>
        <v/>
      </c>
      <c r="J60" s="52" t="n"/>
      <c r="K60" s="115" t="n"/>
      <c r="L60" s="115">
        <f>H60*Q60</f>
        <v/>
      </c>
      <c r="M60" s="115">
        <f>I60*Q60</f>
        <v/>
      </c>
      <c r="N60" s="227" t="n"/>
      <c r="O60" s="100" t="n"/>
      <c r="P60" s="210" t="n">
        <v>0.95</v>
      </c>
      <c r="Q60" s="574" t="n">
        <v>0.18</v>
      </c>
      <c r="R60" s="558" t="n">
        <v>0.18</v>
      </c>
      <c r="S60" s="154" t="n">
        <v>45945</v>
      </c>
      <c r="T60" s="148" t="n"/>
      <c r="U60" s="148" t="n"/>
      <c r="V60" s="155" t="n">
        <v>46173</v>
      </c>
      <c r="W60" s="92" t="n"/>
      <c r="Y60" s="115" t="n"/>
      <c r="Z60" s="115">
        <f>#REF!</f>
        <v/>
      </c>
      <c r="AD60" s="5" t="n"/>
      <c r="AE60" s="273">
        <f>G60</f>
        <v/>
      </c>
      <c r="AI60" s="115" t="n"/>
    </row>
    <row r="61" ht="15" customHeight="1" s="520">
      <c r="A61" s="130" t="n"/>
      <c r="B61" s="8" t="n"/>
      <c r="C61" s="8" t="n"/>
      <c r="D61" s="8" t="n"/>
      <c r="E61" s="129" t="n"/>
      <c r="F61" s="8" t="n"/>
      <c r="G61" s="140" t="n"/>
      <c r="H61" s="228" t="n"/>
      <c r="I61" s="118">
        <f>+G61</f>
        <v/>
      </c>
      <c r="J61" s="118" t="n"/>
      <c r="K61" s="115" t="n"/>
      <c r="L61" s="115">
        <f>H61*Q61</f>
        <v/>
      </c>
      <c r="M61" s="115">
        <f>I61*Q61</f>
        <v/>
      </c>
      <c r="N61" s="227">
        <f>+H61*Q61</f>
        <v/>
      </c>
      <c r="O61" s="162" t="n"/>
      <c r="P61" s="210" t="n">
        <v>1</v>
      </c>
      <c r="Q61" s="566" t="n">
        <v>0.33</v>
      </c>
      <c r="R61" s="574" t="n"/>
      <c r="S61" s="154" t="n">
        <v>45748</v>
      </c>
      <c r="T61" s="148" t="n"/>
      <c r="U61" s="148" t="n"/>
      <c r="V61" s="155" t="n">
        <v>45992</v>
      </c>
      <c r="W61" s="92" t="n"/>
      <c r="X61" s="24" t="n"/>
      <c r="Y61" s="115">
        <f>G61</f>
        <v/>
      </c>
      <c r="Z61" s="115">
        <f>G61</f>
        <v/>
      </c>
      <c r="AA61" s="17" t="n"/>
      <c r="AD61" s="23" t="n"/>
      <c r="AE61" s="273">
        <f>G61</f>
        <v/>
      </c>
      <c r="AF61" s="16" t="n"/>
      <c r="AG61" s="16" t="n"/>
      <c r="AH61" s="16" t="n"/>
      <c r="AI61" s="17" t="n"/>
    </row>
    <row r="62" ht="15" customHeight="1" s="520">
      <c r="A62" s="130" t="n"/>
      <c r="B62" s="8" t="n"/>
      <c r="C62" s="8" t="n"/>
      <c r="D62" s="8" t="n"/>
      <c r="E62" s="129" t="n"/>
      <c r="F62" s="8" t="n"/>
      <c r="G62" s="140" t="n"/>
      <c r="H62" s="228" t="n"/>
      <c r="I62" s="118" t="n"/>
      <c r="J62" s="118" t="n"/>
      <c r="K62" s="115" t="n"/>
      <c r="L62" s="115">
        <f>H62*Q62</f>
        <v/>
      </c>
      <c r="M62" s="115">
        <f>I62*Q62</f>
        <v/>
      </c>
      <c r="N62" s="227">
        <f>+H62*Q62</f>
        <v/>
      </c>
      <c r="O62" s="162" t="n"/>
      <c r="P62" s="210" t="n">
        <v>1</v>
      </c>
      <c r="Q62" s="566" t="n">
        <v>0.2</v>
      </c>
      <c r="R62" s="574" t="n">
        <v>0.31</v>
      </c>
      <c r="S62" s="154" t="n">
        <v>45748</v>
      </c>
      <c r="T62" s="148" t="n"/>
      <c r="U62" s="148" t="n"/>
      <c r="V62" s="155" t="n">
        <v>45992</v>
      </c>
      <c r="W62" s="92" t="n"/>
      <c r="X62" s="24" t="n"/>
      <c r="Y62" s="115">
        <f>G62</f>
        <v/>
      </c>
      <c r="Z62" s="115">
        <f>G62</f>
        <v/>
      </c>
      <c r="AA62" s="17" t="n"/>
      <c r="AD62" s="23" t="n"/>
      <c r="AE62" s="273">
        <f>G62</f>
        <v/>
      </c>
      <c r="AF62" s="16" t="n"/>
      <c r="AG62" s="16" t="n"/>
      <c r="AH62" s="16" t="n"/>
      <c r="AI62" s="17" t="n"/>
    </row>
    <row r="63" ht="15" customHeight="1" s="520">
      <c r="A63" s="11" t="n"/>
      <c r="B63" s="15" t="n"/>
      <c r="C63" s="15" t="n"/>
      <c r="D63" s="15" t="n"/>
      <c r="E63" s="129" t="n"/>
      <c r="F63" s="15" t="n"/>
      <c r="G63" s="116" t="n"/>
      <c r="H63" s="124" t="n"/>
      <c r="I63" s="125" t="n"/>
      <c r="J63" s="125" t="n"/>
      <c r="K63" s="115" t="n"/>
      <c r="L63" s="115" t="n"/>
      <c r="M63" s="115" t="n"/>
      <c r="N63" s="227" t="n"/>
      <c r="O63" s="172" t="n"/>
      <c r="P63" s="182" t="n"/>
      <c r="Q63" s="207" t="n"/>
      <c r="R63" s="244" t="n"/>
      <c r="S63" s="154" t="n"/>
      <c r="T63" s="148" t="n"/>
      <c r="U63" s="148" t="n"/>
      <c r="V63" s="155" t="n"/>
      <c r="W63" s="92" t="n"/>
      <c r="X63" s="219" t="n"/>
      <c r="Y63" s="220" t="n"/>
      <c r="Z63" s="221" t="n"/>
      <c r="AA63" s="222" t="n"/>
      <c r="AB63" s="223" t="n"/>
      <c r="AC63" s="223" t="n"/>
      <c r="AD63" s="219" t="n"/>
      <c r="AE63" s="224" t="n"/>
      <c r="AF63" s="220" t="n"/>
      <c r="AG63" s="225" t="n"/>
      <c r="AH63" s="225" t="n"/>
      <c r="AI63" s="226" t="n"/>
    </row>
    <row r="64" ht="15" customFormat="1" customHeight="1" s="6">
      <c r="A64" s="11" t="n"/>
      <c r="B64" s="514" t="n"/>
      <c r="C64" s="514" t="n"/>
      <c r="D64" s="514" t="n"/>
      <c r="E64" s="129" t="n"/>
      <c r="F64" s="514" t="n"/>
      <c r="G64" s="116" t="n"/>
      <c r="H64" s="117" t="n"/>
      <c r="I64" s="118" t="n"/>
      <c r="J64" s="118" t="n"/>
      <c r="K64" s="115" t="n"/>
      <c r="L64" s="115" t="n"/>
      <c r="M64" s="115" t="n"/>
      <c r="N64" s="227" t="n"/>
      <c r="O64" s="183" t="n"/>
      <c r="P64" s="184" t="n"/>
      <c r="Q64" s="207" t="n"/>
      <c r="R64" s="244" t="n"/>
      <c r="S64" s="154" t="n"/>
      <c r="T64" s="148" t="n"/>
      <c r="U64" s="148" t="n"/>
      <c r="V64" s="155" t="n"/>
      <c r="W64" s="92" t="n"/>
      <c r="X64" s="24" t="n"/>
      <c r="Y64" s="16" t="n"/>
      <c r="Z64" s="13" t="n"/>
      <c r="AA64" s="25" t="n"/>
      <c r="AD64" s="54" t="n"/>
      <c r="AE64" s="13" t="n"/>
      <c r="AF64" s="55" t="n"/>
      <c r="AG64" s="55" t="n"/>
      <c r="AH64" s="55" t="n"/>
      <c r="AI64" s="25" t="n"/>
    </row>
    <row r="65" ht="15" customHeight="1" s="520">
      <c r="A65" s="29" t="inlineStr">
        <is>
          <t>Adjudication en cours à confirmer</t>
        </is>
      </c>
      <c r="B65" s="30" t="n"/>
      <c r="C65" s="30" t="n"/>
      <c r="D65" s="30" t="n"/>
      <c r="E65" s="202" t="n"/>
      <c r="F65" s="131" t="n"/>
      <c r="G65" s="132">
        <f>SUM(G57:G64)</f>
        <v/>
      </c>
      <c r="H65" s="343">
        <f>SUM(H57:H64)</f>
        <v/>
      </c>
      <c r="I65" s="344">
        <f>SUM(I57:I64)</f>
        <v/>
      </c>
      <c r="J65" s="126">
        <f>SUM(J63:J64)</f>
        <v/>
      </c>
      <c r="K65" s="232" t="n"/>
      <c r="L65" s="126">
        <f>SUM(L57:L64)</f>
        <v/>
      </c>
      <c r="M65" s="126">
        <f>SUM(M57:M64)</f>
        <v/>
      </c>
      <c r="N65" s="227">
        <f>+L65</f>
        <v/>
      </c>
      <c r="O65" s="183" t="n"/>
      <c r="Q65" s="207" t="n"/>
      <c r="R65" s="244" t="n"/>
      <c r="S65" s="154" t="n"/>
      <c r="T65" s="148" t="n"/>
      <c r="U65" s="148" t="n"/>
      <c r="V65" s="155" t="n"/>
      <c r="W65" s="92" t="n"/>
      <c r="X65" s="78">
        <f>SUM(X63:X64)</f>
        <v/>
      </c>
      <c r="Y65" s="78">
        <f>SUM(Y63:Y64)</f>
        <v/>
      </c>
      <c r="Z65" s="78">
        <f>SUM(Z63:Z64)</f>
        <v/>
      </c>
      <c r="AA65" s="78">
        <f>SUM(AA63:AA64)</f>
        <v/>
      </c>
      <c r="AB65" s="79">
        <f>SUM(X65:AA65)</f>
        <v/>
      </c>
      <c r="AC65" s="79" t="n"/>
      <c r="AD65" s="78">
        <f>SUM(AD63:AD64)</f>
        <v/>
      </c>
      <c r="AE65" s="78">
        <f>SUM(AE63:AE64)</f>
        <v/>
      </c>
      <c r="AF65" s="78">
        <f>SUM(AF63:AF64)</f>
        <v/>
      </c>
      <c r="AG65" s="78">
        <f>SUM(AG63:AG64)</f>
        <v/>
      </c>
      <c r="AH65" s="78">
        <f>SUM(AH63:AH64)</f>
        <v/>
      </c>
      <c r="AI65" s="78">
        <f>SUM(AI63:AI64)</f>
        <v/>
      </c>
      <c r="AJ65" s="12">
        <f>SUM(AD65:AI65)</f>
        <v/>
      </c>
      <c r="AK65" s="5">
        <f>SUM(AD65:AI65)</f>
        <v/>
      </c>
    </row>
    <row r="66" ht="15" customHeight="1" s="520" thickBot="1">
      <c r="A66" s="2" t="n"/>
      <c r="E66" s="129" t="n"/>
      <c r="G66" s="5" t="n"/>
      <c r="H66" s="9" t="n"/>
      <c r="I66" s="51" t="n"/>
      <c r="J66" s="51" t="n"/>
      <c r="K66" s="9" t="n"/>
      <c r="L66" s="9" t="n"/>
      <c r="M66" s="9" t="n"/>
      <c r="N66" s="238">
        <f>IFERROR(+N65/H65,0)</f>
        <v/>
      </c>
      <c r="O66" s="185" t="n"/>
      <c r="Q66" s="207" t="n"/>
      <c r="R66" s="244" t="n"/>
      <c r="S66" s="154" t="n"/>
      <c r="T66" s="148" t="n"/>
      <c r="U66" s="148" t="n"/>
      <c r="V66" s="155" t="n"/>
      <c r="W66" s="100" t="n"/>
      <c r="X66" s="85">
        <f>IFERROR(X65/$AB65,0)</f>
        <v/>
      </c>
      <c r="Y66" s="85">
        <f>IFERROR(Y65/$AB65,0)</f>
        <v/>
      </c>
      <c r="Z66" s="85">
        <f>IFERROR(Z65/$AB65,0)</f>
        <v/>
      </c>
      <c r="AA66" s="85">
        <f>IFERROR(AA65/$AB65,0)</f>
        <v/>
      </c>
      <c r="AB66" s="69">
        <f>SUM(X66:AA66)</f>
        <v/>
      </c>
      <c r="AC66" s="69" t="n"/>
      <c r="AD66" s="85">
        <f>IFERROR(AD65/$AK65,0)</f>
        <v/>
      </c>
      <c r="AE66" s="85">
        <f>IFERROR(AE65/$AK65,0)</f>
        <v/>
      </c>
      <c r="AF66" s="85">
        <f>IFERROR(AF65/$AK65,0)</f>
        <v/>
      </c>
      <c r="AG66" s="85">
        <f>IFERROR(AG65/$AK65,0)</f>
        <v/>
      </c>
      <c r="AH66" s="85">
        <f>IFERROR(AH65/$AK65,0)</f>
        <v/>
      </c>
      <c r="AI66" s="85">
        <f>IFERROR(AI65/$AK65,0)</f>
        <v/>
      </c>
      <c r="AJ66" s="69">
        <f>SUM(AD66:AI66)</f>
        <v/>
      </c>
      <c r="AQ66" s="216" t="n"/>
      <c r="AR66" s="216" t="n"/>
      <c r="AS66" s="216" t="n"/>
      <c r="AT66" s="216" t="n"/>
      <c r="AU66" s="216" t="n"/>
      <c r="AV66" s="216" t="n"/>
      <c r="AW66" s="216" t="n"/>
      <c r="AX66" s="216" t="n"/>
      <c r="AY66" s="216" t="n"/>
      <c r="AZ66" s="216" t="n"/>
      <c r="BA66" s="216" t="n"/>
      <c r="BB66" s="216" t="n"/>
    </row>
    <row r="67" ht="18" customFormat="1" customHeight="1" s="508">
      <c r="A67" s="507" t="inlineStr">
        <is>
          <t>PROJET A L'ETUDE</t>
        </is>
      </c>
      <c r="J67" s="259" t="n"/>
      <c r="K67" s="229" t="n"/>
      <c r="L67" s="229" t="n"/>
      <c r="M67" s="229" t="n"/>
      <c r="N67" s="215" t="n"/>
      <c r="O67" s="186" t="n"/>
      <c r="Q67" s="207" t="n"/>
      <c r="R67" s="244" t="n"/>
      <c r="S67" s="156" t="n"/>
      <c r="T67" s="149" t="n"/>
      <c r="U67" s="149" t="n"/>
      <c r="V67" s="157" t="n"/>
      <c r="W67" s="93" t="n"/>
      <c r="X67" s="504" t="inlineStr">
        <is>
          <t>REPARTITION PAR TYPE D'ADUDICATION</t>
        </is>
      </c>
      <c r="Y67" s="505" t="n"/>
      <c r="Z67" s="505" t="n"/>
      <c r="AA67" s="506" t="n"/>
      <c r="AB67" s="75" t="n"/>
      <c r="AC67" s="75" t="n"/>
      <c r="AD67" s="504" t="inlineStr">
        <is>
          <t>REPARTITION PAR CATEGORIE D'OUVRAGE</t>
        </is>
      </c>
      <c r="AE67" s="505" t="n"/>
      <c r="AF67" s="505" t="n"/>
      <c r="AG67" s="505" t="n"/>
      <c r="AH67" s="505" t="n"/>
      <c r="AI67" s="506" t="n"/>
      <c r="AQ67" s="211" t="n"/>
      <c r="AR67" s="211" t="n"/>
      <c r="AS67" s="211" t="n"/>
      <c r="AT67" s="211" t="n"/>
      <c r="AU67" s="211" t="n"/>
      <c r="AV67" s="211" t="n"/>
      <c r="AW67" s="211" t="n"/>
      <c r="AX67" s="211" t="n"/>
      <c r="AY67" s="211" t="n"/>
      <c r="AZ67" s="211" t="n"/>
      <c r="BA67" s="211" t="n"/>
      <c r="BB67" s="211" t="n"/>
    </row>
    <row r="68" ht="15" customHeight="1" s="520" thickBot="1">
      <c r="A68" s="509" t="n"/>
      <c r="B68" s="510" t="n"/>
      <c r="C68" s="510" t="n"/>
      <c r="D68" s="510" t="n"/>
      <c r="E68" s="510" t="n"/>
      <c r="F68" s="510" t="n"/>
      <c r="G68" s="510" t="n"/>
      <c r="H68" s="510" t="n"/>
      <c r="I68" s="510" t="n"/>
      <c r="J68" s="260" t="n"/>
      <c r="K68" s="229" t="n"/>
      <c r="L68" s="229" t="n"/>
      <c r="M68" s="229" t="n"/>
      <c r="O68" s="186" t="n"/>
      <c r="Q68" s="207" t="n"/>
      <c r="R68" s="244" t="n"/>
      <c r="S68" s="160" t="n"/>
      <c r="T68" s="151" t="n"/>
      <c r="U68" s="151" t="n"/>
      <c r="V68" s="161" t="n"/>
      <c r="W68" s="88" t="n"/>
      <c r="X68" s="2" t="n"/>
      <c r="AA68" s="52" t="n"/>
      <c r="AD68" s="2" t="n"/>
      <c r="AI68" s="52" t="n"/>
      <c r="AQ68" s="115" t="n"/>
      <c r="AR68" s="115" t="n"/>
      <c r="AS68" s="115" t="n"/>
      <c r="AT68" s="115" t="n"/>
      <c r="AU68" s="115" t="n"/>
      <c r="AV68" s="115" t="n"/>
      <c r="AW68" s="115" t="n"/>
      <c r="AX68" s="115" t="n"/>
      <c r="AY68" s="115" t="n"/>
      <c r="AZ68" s="115" t="n"/>
      <c r="BA68" s="115" t="n"/>
      <c r="BB68" s="115" t="n"/>
    </row>
    <row r="69" ht="20.25" customHeight="1" s="520" thickBot="1">
      <c r="A69" s="2" t="n"/>
      <c r="E69" s="129" t="n"/>
      <c r="G69" s="18" t="inlineStr">
        <is>
          <t>Montant</t>
        </is>
      </c>
      <c r="H69" s="101" t="n">
        <v>2025</v>
      </c>
      <c r="I69" s="102" t="n">
        <v>2026</v>
      </c>
      <c r="J69" s="102" t="inlineStr">
        <is>
          <t>2027+</t>
        </is>
      </c>
      <c r="K69" s="101" t="n"/>
      <c r="L69" s="46" t="n">
        <v>2025</v>
      </c>
      <c r="M69" s="46" t="n">
        <v>2026</v>
      </c>
      <c r="N69" s="46" t="inlineStr">
        <is>
          <t>2027+</t>
        </is>
      </c>
      <c r="O69" s="183" t="n"/>
      <c r="Q69" s="199" t="inlineStr">
        <is>
          <t>Taux negocié</t>
        </is>
      </c>
      <c r="R69" s="242" t="inlineStr">
        <is>
          <t>MB etude</t>
        </is>
      </c>
      <c r="S69" s="158" t="n"/>
      <c r="T69" s="150" t="n"/>
      <c r="U69" s="150" t="n"/>
      <c r="V69" s="159" t="n"/>
      <c r="W69" s="98" t="n"/>
      <c r="X69" s="63" t="inlineStr">
        <is>
          <t>SOUMISSION</t>
        </is>
      </c>
      <c r="Y69" s="70" t="inlineStr">
        <is>
          <t>DEVIS Gré à gré</t>
        </is>
      </c>
      <c r="Z69" s="70" t="inlineStr">
        <is>
          <t xml:space="preserve">DEVIS Mis en conccurence </t>
        </is>
      </c>
      <c r="AA69" s="71" t="inlineStr">
        <is>
          <t>DEVIS Concours d'étude</t>
        </is>
      </c>
      <c r="AD69" s="64" t="inlineStr">
        <is>
          <t>JARDIN PRIVE</t>
        </is>
      </c>
      <c r="AE69" s="65" t="inlineStr">
        <is>
          <t>LOGEMENTS COLLECTIFS</t>
        </is>
      </c>
      <c r="AF69" s="65" t="inlineStr">
        <is>
          <t>ESPACE PUBLIC</t>
        </is>
      </c>
      <c r="AG69" s="65" t="inlineStr">
        <is>
          <t>BUREAUX/ ENTREPRISES</t>
        </is>
      </c>
      <c r="AH69" s="65" t="inlineStr">
        <is>
          <t>ORG. INTERNATIONAUX</t>
        </is>
      </c>
      <c r="AI69" s="66" t="inlineStr">
        <is>
          <t>AUTRES</t>
        </is>
      </c>
    </row>
    <row r="70" ht="15" customHeight="1" s="520">
      <c r="A70" s="130" t="n"/>
      <c r="B70" s="12" t="n"/>
      <c r="C70" s="8" t="n"/>
      <c r="D70" s="8" t="n"/>
      <c r="E70" s="129" t="n"/>
      <c r="F70" s="8" t="n"/>
      <c r="G70" s="255" t="n"/>
      <c r="H70" s="256" t="n"/>
      <c r="I70" s="125" t="n"/>
      <c r="J70" s="118" t="n"/>
      <c r="K70" s="115" t="n"/>
      <c r="L70" s="115" t="n"/>
      <c r="M70" s="115" t="n"/>
      <c r="N70" s="227" t="n"/>
      <c r="Q70" s="207" t="n"/>
      <c r="R70" s="244" t="n"/>
      <c r="S70" s="154" t="n"/>
      <c r="T70" s="148" t="n"/>
      <c r="U70" s="148" t="n"/>
      <c r="V70" s="155" t="n"/>
      <c r="W70" s="99" t="n"/>
      <c r="X70" s="24" t="n"/>
      <c r="Y70" s="13" t="n"/>
      <c r="Z70" s="16" t="n"/>
      <c r="AA70" s="17" t="n"/>
      <c r="AD70" s="23" t="n"/>
      <c r="AE70" s="13" t="n"/>
      <c r="AF70" s="16" t="n"/>
      <c r="AG70" s="16" t="n"/>
      <c r="AH70" s="16" t="n"/>
      <c r="AI70" s="17" t="n"/>
    </row>
    <row r="71" ht="15" customHeight="1" s="520">
      <c r="A71" s="130" t="n"/>
      <c r="B71" s="12" t="n"/>
      <c r="C71" s="8" t="n"/>
      <c r="D71" s="8" t="n"/>
      <c r="E71" s="129" t="n"/>
      <c r="F71" s="8" t="n"/>
      <c r="G71" s="140" t="n"/>
      <c r="H71" s="228" t="n"/>
      <c r="I71" s="118" t="n"/>
      <c r="J71" s="118" t="n"/>
      <c r="K71" s="115" t="n"/>
      <c r="L71" s="115" t="n"/>
      <c r="M71" s="115" t="n"/>
      <c r="N71" s="227" t="n"/>
      <c r="O71" s="183" t="n"/>
      <c r="Q71" s="207" t="n"/>
      <c r="R71" s="244" t="n"/>
      <c r="S71" s="154" t="n"/>
      <c r="T71" s="148" t="n"/>
      <c r="U71" s="148" t="n"/>
      <c r="V71" s="155" t="n"/>
      <c r="W71" s="99" t="n"/>
      <c r="X71" s="24" t="n"/>
      <c r="Y71" s="13" t="n"/>
      <c r="Z71" s="16" t="n"/>
      <c r="AA71" s="17" t="n"/>
      <c r="AD71" s="23" t="n"/>
      <c r="AE71" s="13" t="n"/>
      <c r="AF71" s="16" t="n"/>
      <c r="AG71" s="22" t="n"/>
      <c r="AH71" s="22" t="n"/>
      <c r="AI71" s="17" t="n"/>
    </row>
    <row r="72" ht="15" customHeight="1" s="520">
      <c r="A72" s="2" t="inlineStr">
        <is>
          <t>Nyo</t>
        </is>
      </c>
      <c r="E72" s="129" t="inlineStr">
        <is>
          <t>N25001</t>
        </is>
      </c>
      <c r="F72" s="487" t="n"/>
      <c r="G72" s="140" t="n">
        <v>4800000</v>
      </c>
      <c r="H72" s="228" t="n"/>
      <c r="J72" s="115">
        <f>G72*P72</f>
        <v/>
      </c>
      <c r="K72" s="489" t="n"/>
      <c r="L72" s="115" t="n"/>
      <c r="M72" s="115" t="n"/>
      <c r="N72" s="227" t="n"/>
      <c r="O72" s="172" t="n"/>
      <c r="P72" s="210" t="n">
        <v>0.1</v>
      </c>
      <c r="Q72" s="574" t="n">
        <v>0.19</v>
      </c>
      <c r="R72" s="574" t="n">
        <v>0.25</v>
      </c>
      <c r="S72" s="154" t="n">
        <v>46722</v>
      </c>
      <c r="T72" s="559" t="n"/>
      <c r="U72" s="100" t="n"/>
      <c r="V72" s="163" t="n">
        <v>47453</v>
      </c>
      <c r="W72" s="99" t="n"/>
      <c r="X72" s="564" t="n"/>
      <c r="Y72" s="13">
        <f>G72</f>
        <v/>
      </c>
      <c r="Z72" s="69" t="n"/>
      <c r="AA72" s="69" t="n"/>
      <c r="AB72" s="69" t="n"/>
      <c r="AC72" s="69" t="n"/>
      <c r="AD72" s="579" t="n"/>
      <c r="AE72" s="580" t="n"/>
      <c r="AF72" s="16" t="n"/>
      <c r="AG72" s="581" t="n"/>
      <c r="AH72" s="581" t="n"/>
      <c r="AI72" s="594" t="n"/>
      <c r="AJ72" s="69" t="n"/>
    </row>
    <row r="73" ht="15" customHeight="1" s="520">
      <c r="A73" s="2" t="inlineStr">
        <is>
          <t xml:space="preserve">Route </t>
        </is>
      </c>
      <c r="E73" s="129" t="inlineStr">
        <is>
          <t>F25002</t>
        </is>
      </c>
      <c r="F73" s="487" t="n"/>
      <c r="G73" s="140" t="n">
        <v>980837</v>
      </c>
      <c r="H73" s="228" t="n"/>
      <c r="I73" s="271">
        <f>G73*P73</f>
        <v/>
      </c>
      <c r="K73" s="489" t="n"/>
      <c r="L73" s="115" t="n"/>
      <c r="M73" s="115" t="n"/>
      <c r="N73" s="227" t="n"/>
      <c r="O73" s="172" t="n"/>
      <c r="P73" s="210" t="n">
        <v>0.5</v>
      </c>
      <c r="Q73" s="574" t="n">
        <v>0.25</v>
      </c>
      <c r="R73" s="574" t="n">
        <v>0.27</v>
      </c>
      <c r="S73" s="154" t="n">
        <v>46113</v>
      </c>
      <c r="T73" s="559" t="n"/>
      <c r="U73" s="100" t="n"/>
      <c r="V73" s="163" t="n">
        <v>46357</v>
      </c>
      <c r="W73" s="99" t="n"/>
      <c r="X73" s="564" t="n"/>
      <c r="Y73" s="13">
        <f>G73</f>
        <v/>
      </c>
      <c r="Z73" s="69" t="n"/>
      <c r="AA73" s="69" t="n"/>
      <c r="AB73" s="69" t="n"/>
      <c r="AC73" s="69" t="n"/>
      <c r="AD73" s="579" t="n"/>
      <c r="AE73" s="580" t="n"/>
      <c r="AF73" s="16" t="n"/>
      <c r="AG73" s="581" t="n"/>
      <c r="AH73" s="581" t="n"/>
      <c r="AI73" s="594" t="n"/>
      <c r="AJ73" s="69" t="n"/>
    </row>
    <row r="74" ht="15" customHeight="1" s="520">
      <c r="A74" s="2" t="inlineStr">
        <is>
          <t>Alto</t>
        </is>
      </c>
      <c r="E74" s="129" t="inlineStr">
        <is>
          <t>C21030</t>
        </is>
      </c>
      <c r="F74" s="487" t="n"/>
      <c r="G74" s="140" t="n">
        <v>109455</v>
      </c>
      <c r="H74" s="228" t="n"/>
      <c r="I74" s="271">
        <f>G74*P74</f>
        <v/>
      </c>
      <c r="K74" s="489" t="n"/>
      <c r="L74" s="115" t="n"/>
      <c r="M74" s="115" t="n"/>
      <c r="N74" s="227" t="n"/>
      <c r="O74" s="172" t="n"/>
      <c r="P74" s="210" t="n">
        <v>0.8</v>
      </c>
      <c r="Q74" s="574" t="n">
        <v>0.29</v>
      </c>
      <c r="R74" s="574" t="n">
        <v>0.34</v>
      </c>
      <c r="S74" s="154" t="n">
        <v>46054</v>
      </c>
      <c r="T74" s="559" t="n"/>
      <c r="U74" s="100" t="n"/>
      <c r="V74" s="163" t="n">
        <v>46082</v>
      </c>
      <c r="W74" s="99" t="n"/>
      <c r="X74" s="564" t="n"/>
      <c r="Y74" s="13">
        <f>G74</f>
        <v/>
      </c>
      <c r="Z74" s="69" t="n"/>
      <c r="AA74" s="69" t="n"/>
      <c r="AB74" s="69" t="n"/>
      <c r="AC74" s="69" t="n"/>
      <c r="AD74" s="579" t="n"/>
      <c r="AE74" s="580" t="n"/>
      <c r="AF74" s="16" t="n"/>
      <c r="AG74" s="581" t="n"/>
      <c r="AH74" s="581" t="n"/>
      <c r="AI74" s="594" t="n"/>
      <c r="AJ74" s="69" t="n"/>
    </row>
    <row r="75" ht="15" customHeight="1" s="520">
      <c r="A75" s="2" t="n"/>
      <c r="E75" s="129" t="n"/>
      <c r="F75" s="487" t="n"/>
      <c r="G75" s="140" t="n"/>
      <c r="H75" s="228" t="n"/>
      <c r="J75" s="115" t="n"/>
      <c r="K75" s="489" t="n"/>
      <c r="L75" s="115" t="n"/>
      <c r="M75" s="115" t="n"/>
      <c r="N75" s="227" t="n"/>
      <c r="O75" s="172" t="n"/>
      <c r="P75" s="210" t="n">
        <v>0.4</v>
      </c>
      <c r="Q75" s="574" t="n">
        <v>0.23</v>
      </c>
      <c r="R75" s="574" t="n">
        <v>0.23</v>
      </c>
      <c r="S75" s="154" t="n">
        <v>46478</v>
      </c>
      <c r="T75" s="559" t="n"/>
      <c r="U75" s="100" t="n"/>
      <c r="V75" s="163" t="n">
        <v>46722</v>
      </c>
      <c r="W75" s="99" t="n"/>
      <c r="X75" s="564" t="n"/>
      <c r="Z75" s="13">
        <f>G75</f>
        <v/>
      </c>
      <c r="AA75" s="69" t="n"/>
      <c r="AB75" s="69" t="n"/>
      <c r="AC75" s="69" t="n"/>
      <c r="AD75" s="579" t="n"/>
      <c r="AE75" s="580" t="n"/>
      <c r="AF75" s="16" t="n"/>
      <c r="AG75" s="581" t="n"/>
      <c r="AH75" s="581" t="n"/>
      <c r="AI75" s="594" t="n"/>
      <c r="AJ75" s="69" t="n"/>
    </row>
    <row r="76" ht="15" customHeight="1" s="520">
      <c r="A76" s="2" t="n"/>
      <c r="E76" s="129" t="n"/>
      <c r="F76" s="487" t="n"/>
      <c r="G76" s="140" t="n"/>
      <c r="H76" s="228" t="n"/>
      <c r="I76" s="115" t="n"/>
      <c r="J76" s="494" t="n"/>
      <c r="K76" s="489" t="n"/>
      <c r="L76" s="115">
        <f>H76*Q76</f>
        <v/>
      </c>
      <c r="M76" s="115">
        <f>I76*Q76</f>
        <v/>
      </c>
      <c r="N76" s="227" t="n"/>
      <c r="O76" s="172" t="n"/>
      <c r="P76" s="210" t="n">
        <v>0.4</v>
      </c>
      <c r="Q76" s="574" t="n">
        <v>0.23</v>
      </c>
      <c r="R76" s="574" t="n">
        <v>0.23</v>
      </c>
      <c r="S76" s="154" t="n">
        <v>46235</v>
      </c>
      <c r="T76" s="559" t="n"/>
      <c r="U76" s="100" t="n"/>
      <c r="V76" s="163" t="n">
        <v>46296</v>
      </c>
      <c r="W76" s="99" t="n"/>
      <c r="X76" s="564" t="n"/>
      <c r="Y76" s="13">
        <f>G76</f>
        <v/>
      </c>
      <c r="Z76" s="69" t="n"/>
      <c r="AA76" s="69" t="n"/>
      <c r="AB76" s="69" t="n"/>
      <c r="AC76" s="69" t="n"/>
      <c r="AD76" s="579" t="n"/>
      <c r="AE76" s="580" t="n"/>
      <c r="AF76" s="16" t="n"/>
      <c r="AG76" s="581" t="n"/>
      <c r="AH76" s="581" t="n"/>
      <c r="AI76" s="594" t="n"/>
      <c r="AJ76" s="69" t="n"/>
    </row>
    <row r="77" ht="15" customHeight="1" s="520">
      <c r="A77" s="2" t="n"/>
      <c r="E77" s="129" t="n"/>
      <c r="F77" s="487" t="n"/>
      <c r="G77" s="140" t="n"/>
      <c r="H77" s="228" t="n"/>
      <c r="I77" s="115" t="n"/>
      <c r="J77" s="494" t="n"/>
      <c r="K77" s="489" t="n"/>
      <c r="L77" s="115">
        <f>H77*Q77</f>
        <v/>
      </c>
      <c r="M77" s="115">
        <f>I77*Q77</f>
        <v/>
      </c>
      <c r="N77" s="227" t="n"/>
      <c r="O77" s="172" t="n"/>
      <c r="P77" s="210" t="n">
        <v>0.25</v>
      </c>
      <c r="Q77" s="574" t="n">
        <v>0.3</v>
      </c>
      <c r="R77" s="574" t="n">
        <v>0.33</v>
      </c>
      <c r="S77" s="154" t="n">
        <v>46082</v>
      </c>
      <c r="T77" s="559" t="n"/>
      <c r="U77" s="100" t="n"/>
      <c r="V77" s="163" t="n">
        <v>46174</v>
      </c>
      <c r="W77" s="99" t="n"/>
      <c r="X77" s="564" t="n"/>
      <c r="Z77" s="13">
        <f>G77</f>
        <v/>
      </c>
      <c r="AA77" s="69" t="n"/>
      <c r="AB77" s="69" t="n"/>
      <c r="AC77" s="69" t="n"/>
      <c r="AD77" s="579" t="n"/>
      <c r="AE77" s="580" t="n"/>
      <c r="AF77" s="16" t="n"/>
      <c r="AG77" s="581" t="n"/>
      <c r="AH77" s="581" t="n"/>
      <c r="AI77" s="594" t="n"/>
      <c r="AJ77" s="69" t="n"/>
    </row>
    <row r="78" ht="15" customHeight="1" s="520">
      <c r="A78" s="2" t="n"/>
      <c r="E78" s="129" t="n"/>
      <c r="F78" s="487" t="n"/>
      <c r="G78" s="140" t="n"/>
      <c r="H78" s="228" t="n"/>
      <c r="I78" s="115" t="n"/>
      <c r="J78" s="494" t="n"/>
      <c r="K78" s="489" t="n"/>
      <c r="L78" s="115">
        <f>H78*Q78</f>
        <v/>
      </c>
      <c r="M78" s="115">
        <f>I78*Q78</f>
        <v/>
      </c>
      <c r="N78" s="227" t="n"/>
      <c r="O78" s="172" t="n"/>
      <c r="P78" s="210" t="n">
        <v>0.3</v>
      </c>
      <c r="Q78" s="574" t="n">
        <v>0.23</v>
      </c>
      <c r="R78" s="574" t="n">
        <v>0.23</v>
      </c>
      <c r="S78" s="154" t="n">
        <v>46235</v>
      </c>
      <c r="T78" s="559" t="n"/>
      <c r="U78" s="100" t="n"/>
      <c r="V78" s="163" t="n">
        <v>46266</v>
      </c>
      <c r="W78" s="99" t="n"/>
      <c r="X78" s="564" t="n"/>
      <c r="Y78" s="13">
        <f>G78</f>
        <v/>
      </c>
      <c r="Z78" s="69" t="n"/>
      <c r="AA78" s="69" t="n"/>
      <c r="AB78" s="69" t="n"/>
      <c r="AC78" s="69" t="n"/>
      <c r="AD78" s="579" t="n"/>
      <c r="AE78" s="580" t="n"/>
      <c r="AF78" s="16" t="n"/>
      <c r="AG78" s="581" t="n"/>
      <c r="AH78" s="581" t="n"/>
      <c r="AI78" s="594" t="n"/>
      <c r="AJ78" s="69" t="n"/>
    </row>
    <row r="79" ht="15" customHeight="1" s="520">
      <c r="A79" s="2" t="n"/>
      <c r="E79" s="129" t="n"/>
      <c r="F79" s="487" t="n"/>
      <c r="G79" s="140" t="n"/>
      <c r="H79" s="228" t="n"/>
      <c r="I79" s="115" t="n"/>
      <c r="J79" s="494" t="n"/>
      <c r="K79" s="489" t="n"/>
      <c r="L79" s="115">
        <f>H79*Q79</f>
        <v/>
      </c>
      <c r="M79" s="115">
        <f>I79*Q79</f>
        <v/>
      </c>
      <c r="N79" s="227" t="n"/>
      <c r="O79" s="172" t="n"/>
      <c r="P79" s="210" t="n">
        <v>0.1</v>
      </c>
      <c r="Q79" s="574" t="n">
        <v>0.23</v>
      </c>
      <c r="R79" s="574" t="n">
        <v>0.23</v>
      </c>
      <c r="S79" s="154" t="n">
        <v>46113</v>
      </c>
      <c r="T79" s="559" t="n"/>
      <c r="U79" s="100" t="n"/>
      <c r="V79" s="163" t="n">
        <v>46174</v>
      </c>
      <c r="W79" s="99" t="n"/>
      <c r="X79" s="564" t="n"/>
      <c r="Y79" s="13">
        <f>G79</f>
        <v/>
      </c>
      <c r="AA79" s="69" t="n"/>
      <c r="AB79" s="69" t="n"/>
      <c r="AC79" s="69" t="n"/>
      <c r="AD79" s="579" t="n"/>
      <c r="AE79" s="580" t="n"/>
      <c r="AF79" s="16" t="n"/>
      <c r="AG79" s="581" t="n"/>
      <c r="AH79" s="581" t="n"/>
      <c r="AI79" s="594" t="n"/>
      <c r="AJ79" s="69" t="n"/>
    </row>
    <row r="80" ht="15" customHeight="1" s="520">
      <c r="A80" s="2" t="n"/>
      <c r="E80" s="129" t="n"/>
      <c r="F80" s="487" t="n"/>
      <c r="G80" s="140" t="n"/>
      <c r="H80" s="228" t="n"/>
      <c r="I80" s="115" t="n"/>
      <c r="J80" s="494" t="n"/>
      <c r="K80" s="489" t="n"/>
      <c r="L80" s="115">
        <f>H80*Q80</f>
        <v/>
      </c>
      <c r="M80" s="115">
        <f>I80*Q80</f>
        <v/>
      </c>
      <c r="N80" s="227" t="n"/>
      <c r="O80" s="172" t="n"/>
      <c r="P80" s="210" t="n"/>
      <c r="Q80" s="574" t="n">
        <v>0.23</v>
      </c>
      <c r="R80" s="574" t="n">
        <v>0.23</v>
      </c>
      <c r="S80" s="154" t="n">
        <v>46113</v>
      </c>
      <c r="T80" s="559" t="n"/>
      <c r="U80" s="100" t="n"/>
      <c r="V80" s="163" t="n">
        <v>46174</v>
      </c>
      <c r="W80" s="99" t="n"/>
      <c r="X80" s="564">
        <f>G80</f>
        <v/>
      </c>
      <c r="Y80" s="69" t="n"/>
      <c r="Z80" s="69" t="n"/>
      <c r="AA80" s="69" t="n"/>
      <c r="AB80" s="69" t="n"/>
      <c r="AC80" s="69" t="n"/>
      <c r="AD80" s="579" t="n"/>
      <c r="AE80" s="580" t="n"/>
      <c r="AF80" s="16" t="n"/>
      <c r="AG80" s="581" t="n"/>
      <c r="AH80" s="581" t="n"/>
      <c r="AI80" s="594" t="n"/>
      <c r="AJ80" s="69" t="n"/>
    </row>
    <row r="81" ht="15" customHeight="1" s="520">
      <c r="A81" s="130" t="n"/>
      <c r="B81" s="8" t="n"/>
      <c r="C81" s="8" t="n"/>
      <c r="D81" s="8" t="n"/>
      <c r="E81" s="129" t="n"/>
      <c r="F81" s="8" t="n"/>
      <c r="G81" s="140" t="n"/>
      <c r="H81" s="228" t="n"/>
      <c r="I81" s="118" t="n"/>
      <c r="J81" s="271" t="n"/>
      <c r="K81" s="115" t="n"/>
      <c r="L81" s="115">
        <f>H81*Q81</f>
        <v/>
      </c>
      <c r="M81" s="115">
        <f>I81*Q81</f>
        <v/>
      </c>
      <c r="N81" s="227">
        <f>J81*Q81</f>
        <v/>
      </c>
      <c r="O81" s="162" t="n"/>
      <c r="P81" s="210" t="n">
        <v>0.4</v>
      </c>
      <c r="Q81" s="566" t="n">
        <v>0.21</v>
      </c>
      <c r="R81" s="574" t="n"/>
      <c r="S81" s="154" t="n">
        <v>46478</v>
      </c>
      <c r="T81" s="148" t="n"/>
      <c r="U81" s="148" t="n"/>
      <c r="V81" s="155" t="n">
        <v>46722</v>
      </c>
      <c r="W81" s="99" t="n"/>
      <c r="X81" s="24" t="n"/>
      <c r="Y81" s="140" t="n"/>
      <c r="Z81" s="140">
        <f>G81</f>
        <v/>
      </c>
      <c r="AA81" s="17" t="n"/>
      <c r="AD81" s="23" t="n"/>
      <c r="AE81" s="13" t="n"/>
      <c r="AF81" s="16" t="n"/>
      <c r="AG81" s="16" t="n"/>
      <c r="AH81" s="16" t="n"/>
      <c r="AI81" s="118">
        <f>G81</f>
        <v/>
      </c>
    </row>
    <row r="82" ht="15" customHeight="1" s="520">
      <c r="A82" s="130" t="n"/>
      <c r="B82" s="8" t="n"/>
      <c r="C82" s="8" t="n"/>
      <c r="D82" s="8" t="n"/>
      <c r="E82" s="129" t="n"/>
      <c r="F82" s="8" t="n"/>
      <c r="G82" s="140" t="n"/>
      <c r="H82" s="228" t="n"/>
      <c r="I82" s="118" t="n"/>
      <c r="J82" s="52" t="n"/>
      <c r="K82" s="115" t="n"/>
      <c r="L82" s="115">
        <f>H82*Q82</f>
        <v/>
      </c>
      <c r="M82" s="115">
        <f>I82*Q82</f>
        <v/>
      </c>
      <c r="N82" s="227">
        <f>J82*Q82</f>
        <v/>
      </c>
      <c r="O82" s="162" t="n"/>
      <c r="P82" s="210" t="n">
        <v>0.4</v>
      </c>
      <c r="Q82" s="566" t="n">
        <v>0.21</v>
      </c>
      <c r="R82" s="574" t="n"/>
      <c r="S82" s="154" t="n">
        <v>46478</v>
      </c>
      <c r="T82" s="148" t="n"/>
      <c r="U82" s="148" t="n"/>
      <c r="V82" s="155" t="n">
        <v>46722</v>
      </c>
      <c r="W82" s="99" t="n"/>
      <c r="X82" s="24" t="n"/>
      <c r="Y82" s="140" t="n"/>
      <c r="Z82" s="140">
        <f>G82</f>
        <v/>
      </c>
      <c r="AA82" s="17" t="n"/>
      <c r="AD82" s="23" t="n"/>
      <c r="AE82" s="13" t="n"/>
      <c r="AF82" s="16" t="n"/>
      <c r="AG82" s="16" t="n"/>
      <c r="AH82" s="16" t="n"/>
      <c r="AI82" s="118">
        <f>G82</f>
        <v/>
      </c>
    </row>
    <row r="83" ht="15" customHeight="1" s="520">
      <c r="A83" s="130" t="n"/>
      <c r="B83" s="508" t="n"/>
      <c r="C83" s="508" t="n"/>
      <c r="D83" s="508" t="n"/>
      <c r="E83" s="129" t="n"/>
      <c r="F83" s="508" t="n"/>
      <c r="G83" s="392" t="n"/>
      <c r="H83" s="228" t="n"/>
      <c r="I83" s="118" t="n"/>
      <c r="J83" s="52" t="n"/>
      <c r="K83" s="115" t="n"/>
      <c r="L83" s="115">
        <f>H83*Q83</f>
        <v/>
      </c>
      <c r="M83" s="115">
        <f>I83*Q83</f>
        <v/>
      </c>
      <c r="N83" s="227">
        <f>J83*Q83</f>
        <v/>
      </c>
      <c r="O83" s="270" t="n"/>
      <c r="P83" s="210" t="n">
        <v>0.1</v>
      </c>
      <c r="Q83" s="557" t="n">
        <v>0.27</v>
      </c>
      <c r="R83" s="558" t="n"/>
      <c r="S83" s="154" t="n">
        <v>45536</v>
      </c>
      <c r="T83" s="148" t="n"/>
      <c r="U83" s="148" t="n"/>
      <c r="V83" s="155" t="n">
        <v>45580</v>
      </c>
      <c r="W83" s="92" t="n"/>
      <c r="X83" s="23" t="n"/>
      <c r="Y83" s="13">
        <f>G83</f>
        <v/>
      </c>
      <c r="Z83" s="16" t="n"/>
      <c r="AA83" s="17" t="n"/>
      <c r="AB83" s="514" t="inlineStr">
        <is>
          <t>G21041</t>
        </is>
      </c>
      <c r="AC83" s="514" t="n">
        <v>5000</v>
      </c>
      <c r="AD83" s="23">
        <f>G83</f>
        <v/>
      </c>
      <c r="AE83" s="16" t="n"/>
      <c r="AF83" s="16" t="n"/>
      <c r="AG83" s="16" t="n"/>
      <c r="AH83" s="16" t="n"/>
      <c r="AI83" s="17" t="n"/>
    </row>
    <row r="84" ht="15" customHeight="1" s="520">
      <c r="A84" s="130" t="n"/>
      <c r="B84" s="8" t="n"/>
      <c r="C84" s="8" t="n"/>
      <c r="D84" s="8" t="n"/>
      <c r="E84" s="129" t="n"/>
      <c r="F84" s="8" t="n"/>
      <c r="G84" s="140" t="n"/>
      <c r="H84" s="140" t="n"/>
      <c r="I84" s="115" t="n"/>
      <c r="J84" s="228" t="n"/>
      <c r="K84" s="115" t="n"/>
      <c r="L84" s="115">
        <f>H84*Q84</f>
        <v/>
      </c>
      <c r="M84" s="115">
        <f>I84*Q84</f>
        <v/>
      </c>
      <c r="N84" s="227">
        <f>J84*Q84</f>
        <v/>
      </c>
      <c r="O84" s="162" t="n"/>
      <c r="P84" s="210" t="n">
        <v>0.4</v>
      </c>
      <c r="Q84" s="574" t="n">
        <v>0.22</v>
      </c>
      <c r="R84" s="574" t="n"/>
      <c r="S84" s="154" t="n">
        <v>46388</v>
      </c>
      <c r="T84" s="148" t="n"/>
      <c r="U84" s="148" t="n"/>
      <c r="V84" s="155" t="n">
        <v>46722</v>
      </c>
      <c r="W84" s="92" t="n"/>
      <c r="Y84" s="5" t="n"/>
      <c r="Z84" s="514">
        <f>G84</f>
        <v/>
      </c>
      <c r="AD84" s="23" t="n"/>
      <c r="AE84" s="90" t="n"/>
      <c r="AF84" s="16" t="n"/>
      <c r="AG84" s="13">
        <f>G84</f>
        <v/>
      </c>
      <c r="AH84" s="16" t="n"/>
      <c r="AI84" s="17" t="n"/>
    </row>
    <row r="85" ht="15" customHeight="1" s="520">
      <c r="A85" s="2" t="n"/>
      <c r="E85" s="129" t="n"/>
      <c r="F85" s="487" t="n"/>
      <c r="G85" s="140" t="n"/>
      <c r="H85" s="140" t="n"/>
      <c r="I85" s="228" t="n"/>
      <c r="J85" s="488" t="n"/>
      <c r="K85" s="489" t="n"/>
      <c r="L85" s="115">
        <f>H85*Q85</f>
        <v/>
      </c>
      <c r="M85" s="115">
        <f>I85*Q85</f>
        <v/>
      </c>
      <c r="N85" s="227" t="n"/>
      <c r="O85" s="172" t="n"/>
      <c r="P85" s="210" t="n"/>
      <c r="Q85" s="566" t="n">
        <v>0.23</v>
      </c>
      <c r="R85" s="574" t="n">
        <v>0.23</v>
      </c>
      <c r="S85" s="154" t="n">
        <v>46753</v>
      </c>
      <c r="T85" s="559" t="n"/>
      <c r="U85" s="100" t="n"/>
      <c r="V85" s="163" t="n">
        <v>47270</v>
      </c>
      <c r="W85" s="100" t="n"/>
      <c r="X85" s="575">
        <f>G85</f>
        <v/>
      </c>
      <c r="Y85" s="393" t="n"/>
      <c r="Z85" s="393" t="n"/>
      <c r="AA85" s="394" t="n"/>
      <c r="AB85" s="69" t="n"/>
      <c r="AC85" s="69" t="n"/>
      <c r="AD85" s="579" t="n"/>
      <c r="AE85" s="581" t="n"/>
      <c r="AF85" s="16" t="n"/>
      <c r="AG85" s="595" t="n"/>
      <c r="AH85" s="595" t="n"/>
      <c r="AI85" s="594">
        <f>G85</f>
        <v/>
      </c>
      <c r="AJ85" s="69" t="n"/>
    </row>
    <row r="86" ht="15" customHeight="1" s="520">
      <c r="A86" s="130" t="n"/>
      <c r="B86" s="5" t="n"/>
      <c r="E86" s="129" t="n"/>
      <c r="F86" s="8" t="n"/>
      <c r="G86" s="140" t="n"/>
      <c r="H86" s="228" t="n"/>
      <c r="I86" s="118" t="n"/>
      <c r="J86" s="271" t="n"/>
      <c r="K86" s="115" t="n"/>
      <c r="L86" s="115">
        <f>H86*Q86</f>
        <v/>
      </c>
      <c r="M86" s="115">
        <f>I86*Q86</f>
        <v/>
      </c>
      <c r="N86" s="227">
        <f>+H86*Q86</f>
        <v/>
      </c>
      <c r="O86" s="162" t="n"/>
      <c r="P86" s="277" t="n">
        <v>0.2</v>
      </c>
      <c r="Q86" s="557" t="n">
        <v>0.28</v>
      </c>
      <c r="R86" s="558" t="n">
        <v>0.28</v>
      </c>
      <c r="S86" s="154" t="n">
        <v>46082</v>
      </c>
      <c r="T86" s="148" t="n"/>
      <c r="U86" s="148" t="n"/>
      <c r="V86" s="155" t="n">
        <v>46143</v>
      </c>
      <c r="W86" s="92" t="n"/>
      <c r="X86" s="23" t="n"/>
      <c r="Y86" s="13">
        <f>G86</f>
        <v/>
      </c>
      <c r="AA86" s="17" t="n"/>
      <c r="AD86" s="23" t="n"/>
      <c r="AF86" s="5" t="n"/>
      <c r="AG86" s="90" t="n"/>
      <c r="AH86" s="16" t="n"/>
      <c r="AI86" s="14">
        <f>G86</f>
        <v/>
      </c>
      <c r="AM86" s="9" t="n"/>
      <c r="AN86" s="9" t="n"/>
    </row>
    <row r="87" ht="15" customHeight="1" s="520">
      <c r="A87" s="2" t="n"/>
      <c r="B87" s="3" t="n"/>
      <c r="C87" s="3" t="n"/>
      <c r="D87" s="3" t="n"/>
      <c r="E87" s="129" t="n"/>
      <c r="F87" s="10" t="n"/>
      <c r="G87" s="346" t="n"/>
      <c r="H87" s="140" t="n"/>
      <c r="I87" s="228" t="n"/>
      <c r="J87" s="17" t="n"/>
      <c r="K87" s="5" t="n"/>
      <c r="L87" s="115">
        <f>H87*Q87</f>
        <v/>
      </c>
      <c r="M87" s="115">
        <f>I87*Q87</f>
        <v/>
      </c>
      <c r="N87" s="227">
        <f>J87*Q87</f>
        <v/>
      </c>
      <c r="O87" s="270" t="n"/>
      <c r="P87" s="210" t="n">
        <v>0.2</v>
      </c>
      <c r="Q87" s="557" t="n">
        <v>0.27</v>
      </c>
      <c r="R87" s="558" t="n"/>
      <c r="S87" s="154" t="n">
        <v>45901</v>
      </c>
      <c r="T87" s="148" t="n"/>
      <c r="U87" s="148" t="n"/>
      <c r="V87" s="155" t="n">
        <v>45976</v>
      </c>
      <c r="W87" s="92" t="n"/>
      <c r="X87" s="24" t="n"/>
      <c r="Y87" s="13">
        <f>G87</f>
        <v/>
      </c>
      <c r="Z87" s="13" t="n"/>
      <c r="AA87" s="17" t="n"/>
      <c r="AD87" s="23" t="n"/>
      <c r="AE87" s="13">
        <f>G87</f>
        <v/>
      </c>
      <c r="AF87" s="16" t="n"/>
      <c r="AG87" s="21" t="n"/>
      <c r="AH87" s="21" t="n"/>
      <c r="AI87" s="14" t="n"/>
    </row>
    <row r="88" ht="15" customHeight="1" s="520">
      <c r="A88" s="130" t="n"/>
      <c r="B88" s="8" t="n"/>
      <c r="C88" s="8" t="n"/>
      <c r="D88" s="8" t="n"/>
      <c r="E88" s="129" t="n"/>
      <c r="F88" s="8" t="n"/>
      <c r="G88" s="140" t="n"/>
      <c r="H88" s="140" t="n"/>
      <c r="I88" s="228" t="n"/>
      <c r="J88" s="271" t="n"/>
      <c r="K88" s="115" t="n"/>
      <c r="L88" s="115">
        <f>H88*Q88</f>
        <v/>
      </c>
      <c r="M88" s="115">
        <f>I88*Q88</f>
        <v/>
      </c>
      <c r="N88" s="227">
        <f>J88*Q88</f>
        <v/>
      </c>
      <c r="O88" s="162" t="n"/>
      <c r="P88" s="210" t="n">
        <v>0.25</v>
      </c>
      <c r="Q88" s="574" t="n">
        <v>0.22</v>
      </c>
      <c r="R88" s="574" t="n"/>
      <c r="S88" s="154" t="n">
        <v>46844</v>
      </c>
      <c r="T88" s="148" t="n"/>
      <c r="U88" s="148" t="n"/>
      <c r="V88" s="155" t="n">
        <v>47453</v>
      </c>
      <c r="W88" s="92" t="n"/>
      <c r="Y88" s="115" t="n"/>
      <c r="Z88" s="115">
        <f>I88</f>
        <v/>
      </c>
      <c r="AD88" s="23" t="n"/>
      <c r="AE88" s="273">
        <f>I88</f>
        <v/>
      </c>
      <c r="AF88" s="16" t="n"/>
      <c r="AG88" s="140" t="n"/>
      <c r="AH88" s="16" t="n"/>
      <c r="AI88" s="118" t="n"/>
    </row>
    <row r="89" ht="15" customHeight="1" s="520">
      <c r="A89" s="130" t="n"/>
      <c r="B89" s="8" t="n"/>
      <c r="C89" s="8" t="n"/>
      <c r="D89" s="8" t="n"/>
      <c r="E89" s="129" t="n"/>
      <c r="F89" s="8" t="n"/>
      <c r="G89" s="140" t="n"/>
      <c r="H89" s="140" t="n"/>
      <c r="I89" s="228" t="n"/>
      <c r="J89" s="52" t="n"/>
      <c r="K89" s="115" t="n"/>
      <c r="L89" s="115">
        <f>H89*Q89</f>
        <v/>
      </c>
      <c r="M89" s="115">
        <f>I89*Q89</f>
        <v/>
      </c>
      <c r="N89" s="227">
        <f>J89*Q89</f>
        <v/>
      </c>
      <c r="O89" s="162" t="n"/>
      <c r="P89" s="210" t="n">
        <v>0.3</v>
      </c>
      <c r="Q89" s="574" t="n">
        <v>0.3</v>
      </c>
      <c r="R89" s="558" t="n">
        <v>0.32</v>
      </c>
      <c r="S89" s="154" t="n">
        <v>46023</v>
      </c>
      <c r="T89" s="148" t="n"/>
      <c r="U89" s="148" t="n"/>
      <c r="V89" s="155" t="n">
        <v>46113</v>
      </c>
      <c r="W89" s="92" t="n"/>
      <c r="X89" s="115" t="n"/>
      <c r="Y89" s="115">
        <f>G89</f>
        <v/>
      </c>
      <c r="Z89" s="115" t="n"/>
      <c r="AD89" s="23" t="n"/>
      <c r="AE89" s="273" t="n"/>
      <c r="AF89" s="16" t="n"/>
      <c r="AG89" s="140" t="n"/>
      <c r="AH89" s="16" t="n"/>
      <c r="AI89" s="118">
        <f>G89</f>
        <v/>
      </c>
      <c r="AM89" s="9" t="n"/>
      <c r="AN89" s="9" t="n"/>
      <c r="BC89" s="115">
        <f>SUM(AQ89:BB89)-H89</f>
        <v/>
      </c>
    </row>
    <row r="90" ht="15" customHeight="1" s="520">
      <c r="A90" s="130" t="n"/>
      <c r="B90" s="8" t="n"/>
      <c r="C90" s="8" t="n"/>
      <c r="D90" s="8" t="n"/>
      <c r="E90" s="129" t="n"/>
      <c r="F90" s="8" t="n"/>
      <c r="G90" s="140" t="n"/>
      <c r="H90" s="140" t="n"/>
      <c r="I90" s="228" t="n"/>
      <c r="J90" s="271" t="n"/>
      <c r="K90" s="115" t="n"/>
      <c r="L90" s="115">
        <f>H90*Q90</f>
        <v/>
      </c>
      <c r="M90" s="115">
        <f>I90*Q90</f>
        <v/>
      </c>
      <c r="N90" s="227">
        <f>J90*Q90</f>
        <v/>
      </c>
      <c r="O90" s="162" t="n"/>
      <c r="P90" s="210" t="n">
        <v>0.05</v>
      </c>
      <c r="Q90" s="574" t="n">
        <v>0.21</v>
      </c>
      <c r="R90" s="558" t="n">
        <v>0.25</v>
      </c>
      <c r="S90" s="154" t="n">
        <v>46388</v>
      </c>
      <c r="T90" s="148" t="n"/>
      <c r="U90" s="148" t="n"/>
      <c r="V90" s="155" t="n">
        <v>47088</v>
      </c>
      <c r="W90" s="92" t="n"/>
      <c r="Y90" s="115">
        <f>G90</f>
        <v/>
      </c>
      <c r="Z90" s="115">
        <f>I90</f>
        <v/>
      </c>
      <c r="AD90" s="23" t="n"/>
      <c r="AE90" s="273" t="n"/>
      <c r="AF90" s="140" t="n"/>
      <c r="AG90" s="140" t="n"/>
      <c r="AH90" s="16" t="n"/>
      <c r="AI90" s="118">
        <f>G90</f>
        <v/>
      </c>
    </row>
    <row r="91" ht="15" customHeight="1" s="520">
      <c r="A91" s="130" t="n"/>
      <c r="B91" s="8" t="n"/>
      <c r="C91" s="8" t="n"/>
      <c r="D91" s="8" t="n"/>
      <c r="E91" s="129" t="n"/>
      <c r="F91" s="8" t="n"/>
      <c r="G91" s="140" t="n"/>
      <c r="H91" s="228" t="n"/>
      <c r="I91" s="118" t="n"/>
      <c r="J91" s="271" t="n"/>
      <c r="K91" s="115" t="n"/>
      <c r="L91" s="115">
        <f>H91*Q91</f>
        <v/>
      </c>
      <c r="M91" s="115">
        <f>I91*Q91</f>
        <v/>
      </c>
      <c r="N91" s="227">
        <f>+H91*Q91</f>
        <v/>
      </c>
      <c r="O91" s="162" t="n"/>
      <c r="P91" s="210" t="n">
        <v>0.5</v>
      </c>
      <c r="Q91" s="566" t="n">
        <v>0.33</v>
      </c>
      <c r="R91" s="566" t="n">
        <v>0.33</v>
      </c>
      <c r="S91" s="154" t="n">
        <v>45931</v>
      </c>
      <c r="T91" s="148" t="n"/>
      <c r="U91" s="148" t="n"/>
      <c r="V91" s="155" t="n">
        <v>45992</v>
      </c>
      <c r="W91" s="92" t="n"/>
      <c r="X91" s="24" t="n"/>
      <c r="Y91" s="140">
        <f>G91</f>
        <v/>
      </c>
      <c r="Z91" s="115">
        <f>G91</f>
        <v/>
      </c>
      <c r="AA91" s="17" t="n"/>
      <c r="AD91" s="23" t="n"/>
      <c r="AE91" s="5">
        <f>G91</f>
        <v/>
      </c>
      <c r="AF91" s="16" t="n"/>
      <c r="AG91" s="90" t="n"/>
      <c r="AH91" s="16" t="n"/>
      <c r="AI91" s="17" t="n"/>
    </row>
    <row r="92" ht="15" customHeight="1" s="520">
      <c r="A92" s="395" t="n"/>
      <c r="B92" s="8" t="n"/>
      <c r="C92" s="8" t="n"/>
      <c r="D92" s="8" t="n"/>
      <c r="E92" s="129" t="n"/>
      <c r="F92" s="8" t="n"/>
      <c r="G92" s="140" t="n"/>
      <c r="H92" s="140" t="n"/>
      <c r="I92" s="118" t="n"/>
      <c r="J92" s="52" t="n"/>
      <c r="K92" s="115" t="n"/>
      <c r="L92" s="115">
        <f>H92*Q92</f>
        <v/>
      </c>
      <c r="M92" s="115">
        <f>I92*Q92</f>
        <v/>
      </c>
      <c r="N92" s="227">
        <f>J92*Q92</f>
        <v/>
      </c>
      <c r="O92" s="396" t="n"/>
      <c r="P92" s="210" t="n">
        <v>0.2</v>
      </c>
      <c r="Q92" s="574" t="n">
        <v>0.25</v>
      </c>
      <c r="R92" s="558" t="n">
        <v>0.25</v>
      </c>
      <c r="S92" s="154" t="n">
        <v>45901</v>
      </c>
      <c r="T92" s="148" t="n"/>
      <c r="U92" s="148" t="n"/>
      <c r="V92" s="155" t="n">
        <v>45992</v>
      </c>
      <c r="W92" s="92" t="n"/>
      <c r="Y92" s="115">
        <f>G92</f>
        <v/>
      </c>
      <c r="Z92" s="5" t="n"/>
      <c r="AD92" s="5" t="n"/>
      <c r="AE92" s="5" t="n"/>
      <c r="AI92" s="115">
        <f>G92</f>
        <v/>
      </c>
      <c r="AM92" s="9" t="n"/>
      <c r="AN92" s="9" t="n"/>
    </row>
    <row r="93" ht="15" customHeight="1" s="520">
      <c r="A93" s="130" t="n"/>
      <c r="B93" s="8" t="n"/>
      <c r="C93" s="8" t="n"/>
      <c r="D93" s="8" t="n"/>
      <c r="E93" s="129" t="n"/>
      <c r="F93" s="8" t="n"/>
      <c r="G93" s="140" t="n"/>
      <c r="H93" s="228" t="n"/>
      <c r="I93" s="228" t="n"/>
      <c r="J93" s="118" t="n"/>
      <c r="K93" s="115" t="n"/>
      <c r="L93" s="115">
        <f>H93*Q93</f>
        <v/>
      </c>
      <c r="M93" s="115">
        <f>I93*Q93</f>
        <v/>
      </c>
      <c r="N93" s="227">
        <f>J93*Q93</f>
        <v/>
      </c>
      <c r="O93" s="162" t="n"/>
      <c r="P93" s="210" t="n">
        <v>0.2</v>
      </c>
      <c r="Q93" s="574" t="n">
        <v>0.21</v>
      </c>
      <c r="R93" s="558" t="n">
        <v>0.26</v>
      </c>
      <c r="S93" s="154" t="n">
        <v>46174</v>
      </c>
      <c r="T93" s="148" t="n"/>
      <c r="U93" s="148" t="n"/>
      <c r="V93" s="155" t="n">
        <v>46327</v>
      </c>
      <c r="W93" s="92" t="n"/>
      <c r="X93" s="24" t="n"/>
      <c r="Y93" s="140" t="n"/>
      <c r="Z93" s="13">
        <f>G93</f>
        <v/>
      </c>
      <c r="AA93" s="17" t="n"/>
      <c r="AD93" s="23" t="n"/>
      <c r="AE93" s="13">
        <f>G93</f>
        <v/>
      </c>
      <c r="AF93" s="16" t="n"/>
      <c r="AG93" s="16" t="n"/>
      <c r="AH93" s="16" t="n"/>
      <c r="AI93" s="118" t="n"/>
    </row>
    <row r="94" ht="15" customHeight="1" s="520">
      <c r="A94" s="2" t="n"/>
      <c r="B94" s="5" t="n"/>
      <c r="E94" s="129" t="n"/>
      <c r="G94" s="397" t="n"/>
      <c r="H94" s="228" t="n"/>
      <c r="I94" s="118" t="n"/>
      <c r="J94" s="118" t="n"/>
      <c r="K94" s="115" t="n"/>
      <c r="L94" s="115">
        <f>H94*Q94</f>
        <v/>
      </c>
      <c r="M94" s="115">
        <f>I94*Q94</f>
        <v/>
      </c>
      <c r="N94" s="227">
        <f>J94*Q94</f>
        <v/>
      </c>
      <c r="O94" s="172" t="n"/>
      <c r="P94" s="210" t="n">
        <v>0.2</v>
      </c>
      <c r="Q94" s="558" t="n">
        <v>0.22</v>
      </c>
      <c r="R94" s="558" t="n"/>
      <c r="S94" s="154" t="n">
        <v>46388</v>
      </c>
      <c r="T94" s="148" t="n"/>
      <c r="U94" s="148" t="n"/>
      <c r="V94" s="155" t="n">
        <v>46722</v>
      </c>
      <c r="W94" s="99" t="n"/>
      <c r="X94" s="24" t="n"/>
      <c r="Y94" s="13">
        <f>G94</f>
        <v/>
      </c>
      <c r="Z94" s="13" t="n"/>
      <c r="AA94" s="14" t="n"/>
      <c r="AB94" s="5" t="n"/>
      <c r="AC94" s="5" t="n"/>
      <c r="AD94" s="24" t="n"/>
      <c r="AE94" s="13" t="n"/>
      <c r="AF94" s="16" t="n"/>
      <c r="AG94" s="16" t="n"/>
      <c r="AH94" s="16" t="n"/>
      <c r="AI94" s="118">
        <f>G94</f>
        <v/>
      </c>
    </row>
    <row r="95" ht="15" customHeight="1" s="520">
      <c r="A95" s="130" t="n"/>
      <c r="B95" s="5" t="n"/>
      <c r="E95" s="129" t="n"/>
      <c r="F95" s="8" t="n"/>
      <c r="G95" s="140" t="n"/>
      <c r="H95" s="228" t="n"/>
      <c r="I95" s="118" t="n"/>
      <c r="J95" s="118" t="n"/>
      <c r="K95" s="115" t="n"/>
      <c r="L95" s="115">
        <f>H95*Q95</f>
        <v/>
      </c>
      <c r="M95" s="115">
        <f>I95*Q95</f>
        <v/>
      </c>
      <c r="N95" s="227">
        <f>+H95*Q95</f>
        <v/>
      </c>
      <c r="O95" s="162" t="n"/>
      <c r="P95" s="277" t="n">
        <v>0.5</v>
      </c>
      <c r="Q95" s="557" t="n">
        <v>0.28</v>
      </c>
      <c r="R95" s="558" t="n">
        <v>0.31</v>
      </c>
      <c r="S95" s="154" t="n">
        <v>46082</v>
      </c>
      <c r="T95" s="148" t="n"/>
      <c r="U95" s="148" t="n"/>
      <c r="V95" s="155" t="n">
        <v>46143</v>
      </c>
      <c r="W95" s="92" t="n"/>
      <c r="X95" s="23" t="n"/>
      <c r="Y95" s="13">
        <f>G95</f>
        <v/>
      </c>
      <c r="Z95" s="16" t="n"/>
      <c r="AA95" s="17" t="n"/>
      <c r="AD95" s="23" t="n"/>
      <c r="AE95" s="16" t="n"/>
      <c r="AF95" s="13" t="n"/>
      <c r="AG95" s="16" t="n"/>
      <c r="AH95" s="16" t="n"/>
      <c r="AI95" s="14">
        <f>G95</f>
        <v/>
      </c>
      <c r="AM95" s="9" t="n"/>
      <c r="AN95" s="9" t="n"/>
    </row>
    <row r="96" ht="15" customHeight="1" s="520">
      <c r="A96" s="395" t="n"/>
      <c r="B96" s="12" t="n"/>
      <c r="C96" s="8" t="n"/>
      <c r="D96" s="8" t="n"/>
      <c r="E96" s="345" t="n"/>
      <c r="F96" s="8" t="n"/>
      <c r="G96" s="140" t="n"/>
      <c r="H96" s="140" t="n"/>
      <c r="I96" s="17" t="n"/>
      <c r="J96" s="271" t="n"/>
      <c r="K96" s="115" t="n"/>
      <c r="L96" s="115" t="n"/>
      <c r="M96" s="115" t="n"/>
      <c r="N96" s="115" t="n"/>
      <c r="O96" s="398" t="n"/>
      <c r="P96" s="210" t="n"/>
      <c r="Q96" s="574" t="n"/>
      <c r="R96" s="574" t="n"/>
      <c r="S96" s="154" t="n"/>
      <c r="T96" s="148" t="n"/>
      <c r="U96" s="148" t="n"/>
      <c r="V96" s="155" t="n"/>
      <c r="W96" s="99" t="n"/>
      <c r="X96" s="5" t="n"/>
      <c r="Y96" s="5" t="n"/>
      <c r="Z96" s="69" t="n"/>
      <c r="AA96" s="69" t="n"/>
      <c r="AB96" s="69" t="n"/>
      <c r="AD96" s="5" t="n"/>
      <c r="AE96" s="5" t="n"/>
      <c r="AF96" s="115">
        <f>G96</f>
        <v/>
      </c>
      <c r="AI96" s="115" t="n"/>
    </row>
    <row r="97" ht="15" customHeight="1" s="520">
      <c r="A97" s="130" t="n"/>
      <c r="B97" s="8" t="n"/>
      <c r="C97" s="8" t="n"/>
      <c r="D97" s="8" t="n"/>
      <c r="E97" s="129" t="n"/>
      <c r="F97" s="8" t="n"/>
      <c r="G97" s="140" t="n"/>
      <c r="H97" s="228" t="n"/>
      <c r="I97" s="118" t="n"/>
      <c r="J97" s="118" t="n"/>
      <c r="K97" s="115" t="n"/>
      <c r="L97" s="115">
        <f>H97*Q97</f>
        <v/>
      </c>
      <c r="M97" s="115">
        <f>I97*Q97</f>
        <v/>
      </c>
      <c r="N97" s="227">
        <f>J97*Q97</f>
        <v/>
      </c>
      <c r="O97" s="162" t="n"/>
      <c r="P97" s="210" t="n">
        <v>0.15</v>
      </c>
      <c r="Q97" s="566" t="n">
        <v>0.2</v>
      </c>
      <c r="R97" s="574" t="n"/>
      <c r="S97" s="154" t="n">
        <v>46296</v>
      </c>
      <c r="T97" s="148" t="n"/>
      <c r="U97" s="148" t="n"/>
      <c r="V97" s="155" t="n">
        <v>46539</v>
      </c>
      <c r="W97" s="92" t="n"/>
      <c r="X97" s="24" t="n"/>
      <c r="Y97" s="140" t="n"/>
      <c r="Z97" s="115">
        <f>G97</f>
        <v/>
      </c>
      <c r="AA97" s="17" t="n"/>
      <c r="AD97" s="23" t="n"/>
      <c r="AE97" s="5" t="n"/>
      <c r="AF97" s="16" t="n"/>
      <c r="AG97" s="228">
        <f>G97</f>
        <v/>
      </c>
      <c r="AH97" s="16" t="n"/>
      <c r="AI97" s="118" t="n"/>
    </row>
    <row r="98" ht="15" customHeight="1" s="520">
      <c r="A98" s="130" t="n"/>
      <c r="B98" s="508" t="n"/>
      <c r="C98" s="508" t="n"/>
      <c r="D98" s="508" t="n"/>
      <c r="E98" s="129" t="n"/>
      <c r="F98" s="508" t="n"/>
      <c r="G98" s="392" t="n"/>
      <c r="H98" s="228" t="n"/>
      <c r="I98" s="118" t="n"/>
      <c r="J98" s="271" t="n"/>
      <c r="K98" s="115" t="n"/>
      <c r="L98" s="115">
        <f>H98*Q98</f>
        <v/>
      </c>
      <c r="M98" s="115">
        <f>I98*Q98</f>
        <v/>
      </c>
      <c r="N98" s="227">
        <f>J98*Q98</f>
        <v/>
      </c>
      <c r="O98" s="270" t="n"/>
      <c r="P98" s="210" t="n">
        <v>0.2</v>
      </c>
      <c r="Q98" s="557" t="n">
        <v>0.23</v>
      </c>
      <c r="R98" s="558" t="n">
        <v>0.23</v>
      </c>
      <c r="S98" s="154" t="n">
        <v>45901</v>
      </c>
      <c r="T98" s="148" t="n"/>
      <c r="U98" s="148" t="n"/>
      <c r="V98" s="155" t="n">
        <v>45961</v>
      </c>
      <c r="W98" s="92" t="n"/>
      <c r="X98" s="23" t="n"/>
      <c r="Y98" s="5">
        <f>G98</f>
        <v/>
      </c>
      <c r="AA98" s="17" t="n"/>
      <c r="AB98" s="514" t="inlineStr">
        <is>
          <t>G21041</t>
        </is>
      </c>
      <c r="AC98" s="514" t="n">
        <v>5000</v>
      </c>
      <c r="AD98" s="23">
        <f>G98</f>
        <v/>
      </c>
      <c r="AE98" s="90" t="n"/>
      <c r="AF98" s="16" t="n"/>
      <c r="AG98" s="16" t="n"/>
      <c r="AH98" s="16" t="n"/>
      <c r="AI98" s="17" t="n"/>
    </row>
    <row r="99" ht="15" customHeight="1" s="520">
      <c r="A99" s="130" t="n"/>
      <c r="B99" s="8" t="n"/>
      <c r="C99" s="8" t="n"/>
      <c r="D99" s="8" t="n"/>
      <c r="E99" s="129" t="n"/>
      <c r="F99" s="8" t="n"/>
      <c r="G99" s="140" t="n"/>
      <c r="H99" s="140" t="n"/>
      <c r="I99" s="118" t="n"/>
      <c r="J99" s="118" t="n"/>
      <c r="K99" s="115" t="n"/>
      <c r="L99" s="115">
        <f>H99*Q99</f>
        <v/>
      </c>
      <c r="M99" s="115">
        <f>I99*Q99</f>
        <v/>
      </c>
      <c r="N99" s="227">
        <f>J99*Q99</f>
        <v/>
      </c>
      <c r="O99" s="162" t="n"/>
      <c r="P99" s="210" t="n">
        <v>0.1</v>
      </c>
      <c r="Q99" s="566" t="n">
        <v>0.25</v>
      </c>
      <c r="R99" s="558" t="n">
        <v>0.3</v>
      </c>
      <c r="S99" s="154" t="n">
        <v>46753</v>
      </c>
      <c r="T99" s="148" t="n"/>
      <c r="U99" s="148" t="n"/>
      <c r="V99" s="155" t="n">
        <v>47088</v>
      </c>
      <c r="W99" s="92" t="n"/>
      <c r="X99" s="24" t="n"/>
      <c r="Y99" s="115" t="n"/>
      <c r="Z99" s="115">
        <f>I99</f>
        <v/>
      </c>
      <c r="AA99" s="17" t="n"/>
      <c r="AD99" s="23" t="n"/>
      <c r="AE99" s="273">
        <f>I99</f>
        <v/>
      </c>
      <c r="AF99" s="140" t="n"/>
      <c r="AG99" s="140" t="n"/>
      <c r="AH99" s="16" t="n"/>
      <c r="AI99" s="118" t="n"/>
    </row>
    <row r="100" ht="15" customHeight="1" s="520">
      <c r="A100" s="130" t="n"/>
      <c r="B100" s="12" t="n"/>
      <c r="C100" s="8" t="n"/>
      <c r="D100" s="8" t="n"/>
      <c r="E100" s="129" t="n"/>
      <c r="F100" s="8" t="n"/>
      <c r="G100" s="140" t="n"/>
      <c r="H100" s="228" t="n"/>
      <c r="I100" s="118" t="n"/>
      <c r="J100" s="271" t="n"/>
      <c r="K100" s="115" t="n"/>
      <c r="L100" s="115">
        <f>H100*Q100</f>
        <v/>
      </c>
      <c r="M100" s="115">
        <f>I100*Q100</f>
        <v/>
      </c>
      <c r="N100" s="227">
        <f>J100*Q100</f>
        <v/>
      </c>
      <c r="O100" s="183" t="n"/>
      <c r="P100" s="210" t="n">
        <v>0.4</v>
      </c>
      <c r="Q100" s="566" t="n">
        <v>0.33</v>
      </c>
      <c r="R100" s="574" t="n"/>
      <c r="S100" s="154" t="n">
        <v>45689</v>
      </c>
      <c r="T100" s="148" t="n"/>
      <c r="U100" s="148" t="n"/>
      <c r="V100" s="155" t="n">
        <v>45748</v>
      </c>
      <c r="W100" s="99" t="n"/>
      <c r="X100" s="24" t="n"/>
      <c r="Y100" s="5">
        <f>G100</f>
        <v/>
      </c>
      <c r="AA100" s="17" t="n"/>
      <c r="AD100" s="23">
        <f>G100</f>
        <v/>
      </c>
      <c r="AE100" s="273" t="n"/>
      <c r="AF100" s="16" t="n"/>
      <c r="AG100" s="16" t="n"/>
      <c r="AH100" s="16" t="n"/>
      <c r="AI100" s="118" t="n"/>
    </row>
    <row r="101" ht="15" customHeight="1" s="520">
      <c r="A101" s="130" t="n"/>
      <c r="B101" s="5" t="n"/>
      <c r="E101" s="129" t="n"/>
      <c r="G101" s="140" t="n"/>
      <c r="H101" s="228" t="n"/>
      <c r="I101" s="118" t="n"/>
      <c r="J101" s="271" t="n"/>
      <c r="K101" s="115" t="n"/>
      <c r="L101" s="115">
        <f>H101*Q101</f>
        <v/>
      </c>
      <c r="M101" s="115">
        <f>I101*Q101</f>
        <v/>
      </c>
      <c r="N101" s="227">
        <f>J101*Q101</f>
        <v/>
      </c>
      <c r="O101" s="172" t="n"/>
      <c r="P101" s="210" t="n">
        <v>0.1</v>
      </c>
      <c r="Q101" s="557" t="n">
        <v>0.3</v>
      </c>
      <c r="R101" s="558" t="n">
        <v>0.34</v>
      </c>
      <c r="S101" s="154" t="n">
        <v>46143</v>
      </c>
      <c r="T101" s="148" t="n"/>
      <c r="U101" s="148" t="n"/>
      <c r="V101" s="155" t="n">
        <v>46266</v>
      </c>
      <c r="W101" s="99" t="n"/>
      <c r="X101" s="24" t="n"/>
      <c r="Y101" s="5">
        <f>G101</f>
        <v/>
      </c>
      <c r="Z101" s="5" t="n"/>
      <c r="AA101" s="14" t="n"/>
      <c r="AB101" s="5" t="n"/>
      <c r="AC101" s="5" t="n"/>
      <c r="AD101" s="274">
        <f>G101</f>
        <v/>
      </c>
      <c r="AE101" s="273" t="n"/>
      <c r="AF101" s="16" t="n"/>
      <c r="AG101" s="16" t="n"/>
      <c r="AH101" s="16" t="n"/>
      <c r="AI101" s="14" t="n"/>
    </row>
    <row r="102" ht="15" customHeight="1" s="520">
      <c r="A102" s="130" t="n"/>
      <c r="B102" s="12" t="n"/>
      <c r="C102" s="8" t="n"/>
      <c r="D102" s="8" t="n"/>
      <c r="E102" s="345" t="n"/>
      <c r="F102" s="8" t="n"/>
      <c r="G102" s="140" t="n"/>
      <c r="H102" s="228" t="n"/>
      <c r="I102" s="118" t="n"/>
      <c r="J102" s="52" t="n"/>
      <c r="K102" s="115" t="n"/>
      <c r="L102" s="115">
        <f>H102*Q102</f>
        <v/>
      </c>
      <c r="M102" s="115">
        <f>I102*Q102</f>
        <v/>
      </c>
      <c r="N102" s="227">
        <f>J102*Q102</f>
        <v/>
      </c>
      <c r="O102" s="183" t="n"/>
      <c r="P102" s="210" t="n">
        <v>0.2</v>
      </c>
      <c r="Q102" s="566" t="n">
        <v>0.25</v>
      </c>
      <c r="R102" s="574" t="n">
        <v>0.29</v>
      </c>
      <c r="S102" s="154" t="n">
        <v>46023</v>
      </c>
      <c r="T102" s="148" t="n"/>
      <c r="U102" s="148" t="n"/>
      <c r="V102" s="155" t="n">
        <v>46113</v>
      </c>
      <c r="W102" s="99" t="n"/>
      <c r="X102" s="23" t="n"/>
      <c r="Y102" s="5">
        <f>G102</f>
        <v/>
      </c>
      <c r="Z102" s="69" t="n"/>
      <c r="AA102" s="394" t="n"/>
      <c r="AB102" s="69" t="n"/>
      <c r="AD102" s="23">
        <f>G102</f>
        <v/>
      </c>
      <c r="AE102" s="273" t="n"/>
      <c r="AF102" s="16" t="n"/>
      <c r="AG102" s="16" t="n"/>
      <c r="AH102" s="16" t="n"/>
      <c r="AI102" s="118" t="n"/>
    </row>
    <row r="103" ht="15" customHeight="1" s="520">
      <c r="A103" s="130" t="n"/>
      <c r="B103" s="8" t="n"/>
      <c r="C103" s="8" t="n"/>
      <c r="D103" s="8" t="n"/>
      <c r="E103" s="129" t="n"/>
      <c r="F103" s="8" t="n"/>
      <c r="G103" s="140" t="n"/>
      <c r="H103" s="228" t="n"/>
      <c r="I103" s="118" t="n"/>
      <c r="J103" s="118" t="n"/>
      <c r="K103" s="115" t="n"/>
      <c r="L103" s="115">
        <f>H103*Q103</f>
        <v/>
      </c>
      <c r="M103" s="115">
        <f>I103*Q103</f>
        <v/>
      </c>
      <c r="N103" s="227">
        <f>J103*Q103</f>
        <v/>
      </c>
      <c r="O103" s="162" t="n"/>
      <c r="P103" s="210" t="n">
        <v>0.8</v>
      </c>
      <c r="Q103" s="566" t="n">
        <v>0.24</v>
      </c>
      <c r="R103" s="558" t="n">
        <v>0.27</v>
      </c>
      <c r="S103" s="154" t="n">
        <v>45931</v>
      </c>
      <c r="T103" s="148" t="n"/>
      <c r="U103" s="148" t="n"/>
      <c r="V103" s="155" t="n">
        <v>46174</v>
      </c>
      <c r="W103" s="92" t="n"/>
      <c r="X103" s="24" t="n"/>
      <c r="Y103" s="115">
        <f>G103</f>
        <v/>
      </c>
      <c r="Z103" s="115" t="n"/>
      <c r="AA103" s="17" t="n"/>
      <c r="AD103" s="23" t="n"/>
      <c r="AE103" s="273" t="n"/>
      <c r="AF103" s="140" t="n"/>
      <c r="AG103" s="140" t="n"/>
      <c r="AH103" s="16" t="n"/>
      <c r="AI103" s="118">
        <f>G103</f>
        <v/>
      </c>
    </row>
    <row r="104" ht="15" customHeight="1" s="520">
      <c r="A104" s="399" t="n"/>
      <c r="B104" s="400" t="n"/>
      <c r="C104" s="400" t="n"/>
      <c r="D104" s="400" t="n"/>
      <c r="E104" s="401" t="n"/>
      <c r="F104" s="400" t="n"/>
      <c r="G104" s="397" t="n"/>
      <c r="H104" s="402" t="n"/>
      <c r="I104" s="403" t="n"/>
      <c r="J104" s="403" t="n"/>
      <c r="K104" s="404" t="n"/>
      <c r="L104" s="404">
        <f>H104*Q104</f>
        <v/>
      </c>
      <c r="M104" s="404">
        <f>I104*Q104</f>
        <v/>
      </c>
      <c r="N104" s="405">
        <f>J104*Q104</f>
        <v/>
      </c>
      <c r="O104" s="406" t="n"/>
      <c r="P104" s="341" t="n">
        <v>0.4</v>
      </c>
      <c r="Q104" s="596" t="n">
        <v>0.21</v>
      </c>
      <c r="R104" s="597" t="n">
        <v>0.25</v>
      </c>
      <c r="S104" s="408" t="n">
        <v>46388</v>
      </c>
      <c r="T104" s="409" t="n"/>
      <c r="U104" s="409" t="n"/>
      <c r="V104" s="410" t="n">
        <v>47088</v>
      </c>
      <c r="W104" s="411" t="n"/>
      <c r="X104" s="412" t="n"/>
      <c r="Y104" s="404">
        <f>G104</f>
        <v/>
      </c>
      <c r="Z104" s="404">
        <f>I104</f>
        <v/>
      </c>
      <c r="AA104" s="413" t="n"/>
      <c r="AB104" s="414" t="n"/>
      <c r="AC104" s="414" t="n"/>
      <c r="AD104" s="415" t="n"/>
      <c r="AE104" s="416" t="n"/>
      <c r="AF104" s="397" t="n"/>
      <c r="AG104" s="397" t="n"/>
      <c r="AH104" s="417" t="n"/>
      <c r="AI104" s="403">
        <f>G104</f>
        <v/>
      </c>
      <c r="AJ104" s="414" t="n"/>
      <c r="AK104" s="414" t="n"/>
      <c r="AL104" s="414" t="n"/>
      <c r="AM104" s="414" t="n"/>
      <c r="AN104" s="414" t="n"/>
      <c r="AO104" s="414" t="n"/>
      <c r="AP104" s="414" t="n"/>
      <c r="AQ104" s="414" t="n"/>
      <c r="AR104" s="414" t="n"/>
      <c r="AS104" s="414" t="n"/>
      <c r="AT104" s="414" t="n"/>
      <c r="AU104" s="414" t="n"/>
      <c r="AV104" s="414" t="n"/>
      <c r="AW104" s="414" t="n"/>
      <c r="AX104" s="414" t="n"/>
      <c r="AY104" s="414" t="n"/>
      <c r="AZ104" s="414" t="n"/>
      <c r="BA104" s="414" t="n"/>
      <c r="BB104" s="414" t="n"/>
      <c r="BC104" s="414" t="n"/>
    </row>
    <row r="105" ht="15" customHeight="1" s="520">
      <c r="A105" s="130" t="n"/>
      <c r="B105" s="5" t="n"/>
      <c r="E105" s="129" t="n"/>
      <c r="G105" s="140" t="n"/>
      <c r="H105" s="228" t="n"/>
      <c r="I105" s="118" t="n"/>
      <c r="J105" s="271" t="n"/>
      <c r="K105" s="115" t="n"/>
      <c r="L105" s="115">
        <f>H105*Q105</f>
        <v/>
      </c>
      <c r="M105" s="115">
        <f>I105*Q105</f>
        <v/>
      </c>
      <c r="N105" s="227">
        <f>J105*Q105</f>
        <v/>
      </c>
      <c r="O105" s="172" t="n"/>
      <c r="P105" s="210" t="n">
        <v>0.2</v>
      </c>
      <c r="Q105" s="557" t="n">
        <v>0.17</v>
      </c>
      <c r="R105" s="558" t="n">
        <v>0.22</v>
      </c>
      <c r="S105" s="154" t="n">
        <v>46127</v>
      </c>
      <c r="T105" s="148" t="n"/>
      <c r="U105" s="148" t="n"/>
      <c r="V105" s="155" t="n">
        <v>46341</v>
      </c>
      <c r="W105" s="99" t="n"/>
      <c r="X105" s="274" t="n"/>
      <c r="Y105" s="5" t="n"/>
      <c r="Z105" s="5">
        <f>G105</f>
        <v/>
      </c>
      <c r="AA105" s="14" t="n"/>
      <c r="AB105" s="5" t="n"/>
      <c r="AC105" s="5" t="n"/>
      <c r="AD105" s="274" t="n"/>
      <c r="AE105" s="273" t="n"/>
      <c r="AF105" s="16" t="n"/>
      <c r="AG105" s="16" t="n"/>
      <c r="AH105" s="16" t="n"/>
      <c r="AI105" s="14">
        <f>G105</f>
        <v/>
      </c>
    </row>
    <row r="106" ht="15" customHeight="1" s="520">
      <c r="A106" s="130" t="n"/>
      <c r="B106" s="8" t="n"/>
      <c r="C106" s="8" t="n"/>
      <c r="D106" s="8" t="n"/>
      <c r="E106" s="129" t="n"/>
      <c r="F106" s="8" t="n"/>
      <c r="G106" s="140" t="n"/>
      <c r="H106" s="228" t="n"/>
      <c r="I106" s="118" t="n"/>
      <c r="J106" s="118" t="n"/>
      <c r="K106" s="115" t="n"/>
      <c r="L106" s="514">
        <f>H106*Q106</f>
        <v/>
      </c>
      <c r="M106" s="115">
        <f>I106*Q106</f>
        <v/>
      </c>
      <c r="N106" s="227">
        <f>J106*Q106</f>
        <v/>
      </c>
      <c r="O106" s="162" t="n"/>
      <c r="P106" s="210" t="n">
        <v>0.2</v>
      </c>
      <c r="Q106" s="566" t="n">
        <v>0.22</v>
      </c>
      <c r="R106" s="574" t="n"/>
      <c r="S106" s="154" t="n">
        <v>45839</v>
      </c>
      <c r="T106" s="148" t="n"/>
      <c r="U106" s="148" t="n"/>
      <c r="V106" s="155" t="n">
        <v>45962</v>
      </c>
      <c r="W106" s="92" t="n"/>
      <c r="X106" s="24" t="n"/>
      <c r="Y106" s="140" t="n"/>
      <c r="Z106" s="115">
        <f>G106</f>
        <v/>
      </c>
      <c r="AA106" s="17" t="n"/>
      <c r="AD106" s="5" t="n"/>
      <c r="AE106" s="5" t="n"/>
      <c r="AF106" s="16" t="n"/>
      <c r="AG106" s="90" t="n"/>
      <c r="AH106" s="16" t="n"/>
      <c r="AI106" s="118">
        <f>G106</f>
        <v/>
      </c>
    </row>
    <row r="107" ht="15" customHeight="1" s="520">
      <c r="A107" s="130" t="n"/>
      <c r="B107" s="8" t="n"/>
      <c r="C107" s="8" t="n"/>
      <c r="D107" s="8" t="n"/>
      <c r="E107" s="129" t="n"/>
      <c r="F107" s="8" t="n"/>
      <c r="G107" s="140" t="n"/>
      <c r="H107" s="228" t="n"/>
      <c r="I107" s="118" t="n"/>
      <c r="J107" s="118" t="n"/>
      <c r="K107" s="115" t="n"/>
      <c r="L107" s="115">
        <f>H107*Q107</f>
        <v/>
      </c>
      <c r="M107" s="115">
        <f>I107*Q107</f>
        <v/>
      </c>
      <c r="N107" s="227">
        <f>J107*Q107</f>
        <v/>
      </c>
      <c r="O107" s="162" t="n"/>
      <c r="P107" s="210" t="n">
        <v>0.2</v>
      </c>
      <c r="Q107" s="566" t="n">
        <v>0.21</v>
      </c>
      <c r="R107" s="558" t="n">
        <v>0.26</v>
      </c>
      <c r="S107" s="154" t="n">
        <v>46753</v>
      </c>
      <c r="T107" s="148" t="n"/>
      <c r="U107" s="148" t="n"/>
      <c r="V107" s="155" t="n">
        <v>47088</v>
      </c>
      <c r="W107" s="92" t="n"/>
      <c r="X107" s="24" t="n"/>
      <c r="Y107" s="140" t="n"/>
      <c r="Z107" s="115">
        <f>I107</f>
        <v/>
      </c>
      <c r="AA107" s="17" t="n"/>
      <c r="AD107" s="23" t="n"/>
      <c r="AE107" s="5">
        <f>I107</f>
        <v/>
      </c>
      <c r="AF107" s="140" t="n"/>
      <c r="AG107" s="228" t="n"/>
      <c r="AH107" s="16" t="n"/>
      <c r="AI107" s="118" t="n"/>
    </row>
    <row r="108" ht="15" customHeight="1" s="520">
      <c r="A108" s="130" t="n"/>
      <c r="B108" s="12" t="n"/>
      <c r="C108" s="8" t="n"/>
      <c r="D108" s="8" t="n"/>
      <c r="E108" s="129" t="n"/>
      <c r="F108" s="8" t="n"/>
      <c r="G108" s="140" t="n"/>
      <c r="H108" s="228" t="n"/>
      <c r="I108" s="118" t="n"/>
      <c r="J108" s="118" t="n"/>
      <c r="K108" s="115" t="n"/>
      <c r="L108" s="115">
        <f>H108*Q108</f>
        <v/>
      </c>
      <c r="M108" s="115">
        <f>I108*Q108</f>
        <v/>
      </c>
      <c r="N108" s="115">
        <f>I108*Q108</f>
        <v/>
      </c>
      <c r="O108" s="183" t="n"/>
      <c r="P108" s="210" t="n">
        <v>0.7</v>
      </c>
      <c r="Q108" s="566" t="n">
        <v>0.32</v>
      </c>
      <c r="R108" s="574" t="n">
        <v>0.32</v>
      </c>
      <c r="S108" s="154" t="n">
        <v>45778</v>
      </c>
      <c r="T108" s="148" t="n"/>
      <c r="U108" s="148" t="n"/>
      <c r="V108" s="155" t="n">
        <v>46174</v>
      </c>
      <c r="W108" s="99" t="n"/>
      <c r="X108" s="24" t="n"/>
      <c r="Y108" s="13">
        <f>G108</f>
        <v/>
      </c>
      <c r="AA108" s="17" t="n"/>
      <c r="AD108" s="23">
        <f>G108</f>
        <v/>
      </c>
      <c r="AE108" s="5" t="n"/>
      <c r="AF108" s="16" t="n"/>
      <c r="AG108" s="90" t="n"/>
      <c r="AH108" s="16" t="n"/>
      <c r="AI108" s="118" t="n"/>
    </row>
    <row r="109" ht="15" customHeight="1" s="520">
      <c r="A109" s="130" t="n"/>
      <c r="B109" s="8" t="n"/>
      <c r="C109" s="8" t="n"/>
      <c r="D109" s="8" t="n"/>
      <c r="E109" s="129" t="n"/>
      <c r="F109" s="8" t="n"/>
      <c r="G109" s="140" t="n"/>
      <c r="H109" s="228" t="n"/>
      <c r="I109" s="118" t="n"/>
      <c r="J109" s="118" t="n"/>
      <c r="K109" s="115" t="n"/>
      <c r="L109" s="115">
        <f>H109*Q109</f>
        <v/>
      </c>
      <c r="M109" s="115">
        <f>I109*Q109</f>
        <v/>
      </c>
      <c r="N109" s="115">
        <f>I109*Q109</f>
        <v/>
      </c>
      <c r="O109" s="162" t="n"/>
      <c r="P109" s="210" t="n">
        <v>0.3</v>
      </c>
      <c r="Q109" s="566" t="n">
        <v>0.27</v>
      </c>
      <c r="R109" s="558" t="n">
        <v>0.33</v>
      </c>
      <c r="S109" s="154" t="n">
        <v>45839</v>
      </c>
      <c r="T109" s="148" t="n"/>
      <c r="U109" s="148" t="n"/>
      <c r="V109" s="155" t="n">
        <v>45992</v>
      </c>
      <c r="W109" s="92" t="n"/>
      <c r="X109" s="24" t="n"/>
      <c r="Y109" s="140" t="n"/>
      <c r="Z109" s="115">
        <f>H109</f>
        <v/>
      </c>
      <c r="AA109" s="17" t="n"/>
      <c r="AD109" s="23" t="n"/>
      <c r="AE109" s="5" t="n"/>
      <c r="AF109" s="140">
        <f>H109</f>
        <v/>
      </c>
      <c r="AG109" s="228" t="n"/>
      <c r="AH109" s="16" t="n"/>
      <c r="AI109" s="118" t="n"/>
    </row>
    <row r="110" ht="15" customFormat="1" customHeight="1" s="414">
      <c r="A110" s="130" t="n"/>
      <c r="B110" s="5" t="n"/>
      <c r="C110" s="514" t="n"/>
      <c r="D110" s="514" t="n"/>
      <c r="E110" s="129" t="n"/>
      <c r="F110" s="514" t="n"/>
      <c r="G110" s="140" t="n"/>
      <c r="H110" s="228" t="n"/>
      <c r="I110" s="118" t="n"/>
      <c r="J110" s="271" t="n"/>
      <c r="K110" s="115" t="n"/>
      <c r="L110" s="115">
        <f>H110*Q110</f>
        <v/>
      </c>
      <c r="M110" s="115">
        <f>I110*Q110</f>
        <v/>
      </c>
      <c r="N110" s="227">
        <f>J110*Q110</f>
        <v/>
      </c>
      <c r="O110" s="172" t="n"/>
      <c r="P110" s="210" t="n">
        <v>0.5</v>
      </c>
      <c r="Q110" s="557" t="n">
        <v>0.28</v>
      </c>
      <c r="R110" s="558" t="n">
        <v>0.28</v>
      </c>
      <c r="S110" s="154" t="n">
        <v>46082</v>
      </c>
      <c r="T110" s="148" t="n"/>
      <c r="U110" s="148" t="n"/>
      <c r="V110" s="155" t="n">
        <v>46174</v>
      </c>
      <c r="W110" s="99" t="n"/>
      <c r="X110" s="24" t="n"/>
      <c r="Y110" s="13">
        <f>G110</f>
        <v/>
      </c>
      <c r="Z110" s="5" t="n"/>
      <c r="AA110" s="14" t="n"/>
      <c r="AB110" s="5" t="n"/>
      <c r="AC110" s="5" t="n"/>
      <c r="AD110" s="274">
        <f>G110</f>
        <v/>
      </c>
      <c r="AE110" s="5" t="n"/>
      <c r="AF110" s="514" t="n"/>
      <c r="AG110" s="90" t="n"/>
      <c r="AH110" s="16" t="n"/>
      <c r="AI110" s="14" t="n"/>
      <c r="AJ110" s="514" t="n"/>
      <c r="AK110" s="514" t="n"/>
      <c r="AL110" s="514" t="n"/>
      <c r="AM110" s="514" t="n"/>
      <c r="AN110" s="514" t="n"/>
      <c r="AO110" s="514" t="n"/>
      <c r="AP110" s="514" t="n"/>
      <c r="AQ110" s="514" t="n"/>
      <c r="AR110" s="514" t="n"/>
      <c r="AS110" s="514" t="n"/>
      <c r="AT110" s="514" t="n"/>
      <c r="AU110" s="514" t="n"/>
      <c r="AV110" s="514" t="n"/>
      <c r="AW110" s="514" t="n"/>
      <c r="AX110" s="514" t="n"/>
      <c r="AY110" s="514" t="n"/>
      <c r="AZ110" s="514" t="n"/>
      <c r="BA110" s="514" t="n"/>
      <c r="BB110" s="514" t="n"/>
      <c r="BC110" s="514" t="n"/>
    </row>
    <row r="111" ht="15" customHeight="1" s="520">
      <c r="A111" s="130" t="n"/>
      <c r="B111" s="8" t="n"/>
      <c r="C111" s="8" t="n"/>
      <c r="D111" s="8" t="n"/>
      <c r="E111" s="129" t="n"/>
      <c r="F111" s="8" t="n"/>
      <c r="G111" s="140" t="n"/>
      <c r="H111" s="228" t="n"/>
      <c r="I111" s="118" t="n"/>
      <c r="J111" s="118" t="n"/>
      <c r="L111" s="115">
        <f>H111*Q111</f>
        <v/>
      </c>
      <c r="M111" s="115">
        <f>I111*Q111</f>
        <v/>
      </c>
      <c r="N111" s="227">
        <f>J111*Q111</f>
        <v/>
      </c>
      <c r="O111" s="162" t="n"/>
      <c r="P111" s="210" t="n">
        <v>0.5</v>
      </c>
      <c r="Q111" s="566" t="n">
        <v>0.25</v>
      </c>
      <c r="R111" s="574" t="n"/>
      <c r="S111" s="154" t="n">
        <v>45292</v>
      </c>
      <c r="T111" s="148" t="n"/>
      <c r="U111" s="148" t="n"/>
      <c r="V111" s="155" t="n">
        <v>45413</v>
      </c>
      <c r="W111" s="92" t="n"/>
      <c r="X111" s="24" t="n"/>
      <c r="Y111" s="13">
        <f>G111</f>
        <v/>
      </c>
      <c r="AA111" s="17" t="n"/>
      <c r="AD111" s="23" t="n"/>
      <c r="AF111" s="16" t="n"/>
      <c r="AG111" s="273">
        <f>G111</f>
        <v/>
      </c>
      <c r="AH111" s="16" t="n"/>
      <c r="AI111" s="17" t="n"/>
    </row>
    <row r="112" ht="15" customHeight="1" s="520">
      <c r="A112" s="130" t="n"/>
      <c r="B112" s="12" t="n"/>
      <c r="C112" s="8" t="n"/>
      <c r="D112" s="8" t="n"/>
      <c r="E112" s="129" t="n"/>
      <c r="F112" s="8" t="n"/>
      <c r="G112" s="140" t="n"/>
      <c r="H112" s="228" t="n"/>
      <c r="I112" s="118" t="n"/>
      <c r="J112" s="118" t="n"/>
      <c r="K112" s="115" t="n"/>
      <c r="L112" s="514">
        <f>H112*Q112</f>
        <v/>
      </c>
      <c r="M112" s="115">
        <f>I112*Q112</f>
        <v/>
      </c>
      <c r="N112" s="227">
        <f>J112*Q112</f>
        <v/>
      </c>
      <c r="O112" s="183" t="n"/>
      <c r="P112" s="210" t="n">
        <v>0.1</v>
      </c>
      <c r="Q112" s="566" t="n">
        <v>0.21</v>
      </c>
      <c r="R112" s="574" t="n"/>
      <c r="S112" s="154" t="n">
        <v>45809</v>
      </c>
      <c r="T112" s="148" t="n"/>
      <c r="U112" s="148" t="n"/>
      <c r="V112" s="155" t="n">
        <v>45870</v>
      </c>
      <c r="W112" s="99" t="n"/>
      <c r="X112" s="24" t="n"/>
      <c r="Y112" s="13">
        <f>G112</f>
        <v/>
      </c>
      <c r="AA112" s="17" t="n"/>
      <c r="AD112" s="23">
        <f>G112</f>
        <v/>
      </c>
      <c r="AE112" s="5" t="n"/>
      <c r="AF112" s="16" t="n"/>
      <c r="AG112" s="90" t="n"/>
      <c r="AH112" s="16" t="n"/>
      <c r="AI112" s="118" t="n"/>
    </row>
    <row r="113" ht="15" customHeight="1" s="520">
      <c r="A113" s="113" t="n"/>
      <c r="E113" s="200" t="n"/>
      <c r="F113" s="99" t="n"/>
      <c r="G113" s="140" t="n"/>
      <c r="H113" s="140" t="n"/>
      <c r="I113" s="118" t="n"/>
      <c r="J113" s="118" t="n"/>
      <c r="K113" s="115" t="n"/>
      <c r="L113" s="115">
        <f>H113*Q113</f>
        <v/>
      </c>
      <c r="M113" s="115">
        <f>I113*Q113</f>
        <v/>
      </c>
      <c r="N113" s="227">
        <f>J113*Q113</f>
        <v/>
      </c>
      <c r="O113" s="172" t="n"/>
      <c r="P113" s="277" t="n">
        <v>0.3</v>
      </c>
      <c r="Q113" s="566" t="n">
        <v>0.26</v>
      </c>
      <c r="R113" s="278" t="n"/>
      <c r="S113" s="162" t="n">
        <v>46174</v>
      </c>
      <c r="T113" s="559" t="n"/>
      <c r="U113" s="100" t="n"/>
      <c r="V113" s="163" t="n">
        <v>46539</v>
      </c>
      <c r="W113" s="100" t="n"/>
      <c r="X113" s="564">
        <f>G113</f>
        <v/>
      </c>
      <c r="Y113" s="69" t="n"/>
      <c r="Z113" s="69" t="n"/>
      <c r="AA113" s="69" t="n"/>
      <c r="AB113" s="69" t="n"/>
      <c r="AC113" s="69" t="n"/>
      <c r="AD113" s="562">
        <f>G113</f>
        <v/>
      </c>
      <c r="AE113" s="562" t="n"/>
      <c r="AF113" s="567" t="n"/>
      <c r="AG113" s="562" t="n"/>
      <c r="AH113" s="562" t="n"/>
      <c r="AI113" s="562" t="n"/>
      <c r="AJ113" s="69" t="n"/>
    </row>
    <row r="114" ht="15" customHeight="1" s="520">
      <c r="A114" s="130" t="n"/>
      <c r="B114" s="12" t="n"/>
      <c r="C114" s="8" t="n"/>
      <c r="D114" s="8" t="n"/>
      <c r="E114" s="129" t="n"/>
      <c r="F114" s="8" t="n"/>
      <c r="G114" s="140" t="n"/>
      <c r="H114" s="228" t="n"/>
      <c r="I114" s="118" t="n"/>
      <c r="J114" s="118" t="n"/>
      <c r="K114" s="115" t="n"/>
      <c r="L114" s="115">
        <f>H114*Q114</f>
        <v/>
      </c>
      <c r="M114" s="115">
        <f>I114*Q114</f>
        <v/>
      </c>
      <c r="N114" s="227">
        <f>J114*Q114</f>
        <v/>
      </c>
      <c r="O114" s="183" t="n"/>
      <c r="P114" s="210" t="n">
        <v>0.2</v>
      </c>
      <c r="Q114" s="566" t="n">
        <v>0.2</v>
      </c>
      <c r="R114" s="574" t="n"/>
      <c r="S114" s="154" t="n">
        <v>46023</v>
      </c>
      <c r="T114" s="148" t="n"/>
      <c r="U114" s="148" t="n"/>
      <c r="V114" s="155" t="n">
        <v>46357</v>
      </c>
      <c r="W114" s="99" t="n"/>
      <c r="X114" s="24" t="n"/>
      <c r="Y114" s="5">
        <f>G114</f>
        <v/>
      </c>
      <c r="AA114" s="17" t="n"/>
      <c r="AD114" s="23">
        <f>G114</f>
        <v/>
      </c>
      <c r="AE114" s="273" t="n"/>
      <c r="AF114" s="16" t="n"/>
      <c r="AG114" s="16" t="n"/>
      <c r="AH114" s="16" t="n"/>
      <c r="AI114" s="118" t="n"/>
    </row>
    <row r="115" ht="15" customHeight="1" s="520">
      <c r="A115" s="130" t="n"/>
      <c r="B115" s="8" t="n"/>
      <c r="C115" s="8" t="n"/>
      <c r="D115" s="8" t="n"/>
      <c r="E115" s="129" t="n"/>
      <c r="F115" s="8" t="n"/>
      <c r="G115" s="140" t="n"/>
      <c r="H115" s="228" t="n"/>
      <c r="I115" s="118" t="n"/>
      <c r="J115" s="118" t="n"/>
      <c r="K115" s="115" t="n"/>
      <c r="L115" s="115">
        <f>H115*Q115</f>
        <v/>
      </c>
      <c r="M115" s="115">
        <f>I115*Q115</f>
        <v/>
      </c>
      <c r="N115" s="227">
        <f>J115*Q115</f>
        <v/>
      </c>
      <c r="O115" s="162" t="n"/>
      <c r="P115" s="210" t="n">
        <v>0.5</v>
      </c>
      <c r="Q115" s="566" t="n">
        <v>0.2</v>
      </c>
      <c r="R115" s="558" t="n">
        <v>0.25</v>
      </c>
      <c r="S115" s="154" t="n">
        <v>45839</v>
      </c>
      <c r="T115" s="148" t="n"/>
      <c r="U115" s="148" t="n"/>
      <c r="V115" s="155" t="n">
        <v>45992</v>
      </c>
      <c r="W115" s="92" t="n"/>
      <c r="X115" s="24" t="n"/>
      <c r="Y115" s="115" t="n"/>
      <c r="Z115" s="115">
        <f>I115</f>
        <v/>
      </c>
      <c r="AA115" s="17" t="n"/>
      <c r="AD115" s="23" t="n"/>
      <c r="AE115" s="273">
        <f>I115</f>
        <v/>
      </c>
      <c r="AF115" s="140" t="n"/>
      <c r="AG115" s="140" t="n"/>
      <c r="AH115" s="16" t="n"/>
      <c r="AI115" s="118" t="n"/>
    </row>
    <row r="116" ht="15" customHeight="1" s="520">
      <c r="A116" s="130" t="n"/>
      <c r="B116" s="12" t="n"/>
      <c r="C116" s="8" t="n"/>
      <c r="D116" s="8" t="n"/>
      <c r="E116" s="345" t="n"/>
      <c r="F116" s="8" t="n"/>
      <c r="G116" s="140" t="n"/>
      <c r="H116" s="228" t="n"/>
      <c r="I116" s="118" t="n"/>
      <c r="J116" s="17" t="n"/>
      <c r="K116" s="115" t="n"/>
      <c r="L116" s="115">
        <f>H116*Q116</f>
        <v/>
      </c>
      <c r="M116" s="115">
        <f>I116*Q116</f>
        <v/>
      </c>
      <c r="N116" s="227">
        <f>J116*Q116</f>
        <v/>
      </c>
      <c r="O116" s="183" t="n"/>
      <c r="P116" s="210" t="n">
        <v>0.5</v>
      </c>
      <c r="Q116" s="566" t="n">
        <v>0.32</v>
      </c>
      <c r="R116" s="574" t="n">
        <v>0.37</v>
      </c>
      <c r="S116" s="154" t="n">
        <v>46023</v>
      </c>
      <c r="T116" s="148" t="n"/>
      <c r="U116" s="148" t="n"/>
      <c r="V116" s="155" t="inlineStr">
        <is>
          <t>01.042026</t>
        </is>
      </c>
      <c r="W116" s="99" t="n"/>
      <c r="X116" s="23">
        <f>G116</f>
        <v/>
      </c>
      <c r="Y116" s="69" t="n"/>
      <c r="Z116" s="69" t="n"/>
      <c r="AA116" s="394" t="n"/>
      <c r="AB116" s="69" t="n"/>
      <c r="AD116" s="23">
        <f>G116</f>
        <v/>
      </c>
      <c r="AE116" s="273" t="n"/>
      <c r="AF116" s="16" t="n"/>
      <c r="AG116" s="16" t="n"/>
      <c r="AH116" s="16" t="n"/>
      <c r="AI116" s="118" t="n"/>
    </row>
    <row r="117" ht="15" customHeight="1" s="520">
      <c r="A117" s="130" t="n"/>
      <c r="B117" s="8" t="n"/>
      <c r="C117" s="8" t="n"/>
      <c r="D117" s="8" t="n"/>
      <c r="E117" s="129" t="n"/>
      <c r="F117" s="8" t="n"/>
      <c r="G117" s="140" t="n"/>
      <c r="H117" s="228" t="n"/>
      <c r="I117" s="118" t="n"/>
      <c r="J117" s="118" t="n"/>
      <c r="K117" s="115" t="n"/>
      <c r="L117" s="115">
        <f>H117*Q117</f>
        <v/>
      </c>
      <c r="M117" s="115">
        <f>I117*Q117</f>
        <v/>
      </c>
      <c r="N117" s="227">
        <f>J117*Q117</f>
        <v/>
      </c>
      <c r="O117" s="162" t="n"/>
      <c r="P117" s="210" t="n">
        <v>0.2</v>
      </c>
      <c r="Q117" s="566" t="n">
        <v>0.28</v>
      </c>
      <c r="R117" s="574" t="n"/>
      <c r="S117" s="154" t="n">
        <v>46023</v>
      </c>
      <c r="T117" s="148" t="n"/>
      <c r="U117" s="148" t="n"/>
      <c r="V117" s="155" t="inlineStr">
        <is>
          <t>31.11.2026</t>
        </is>
      </c>
      <c r="W117" s="92" t="n"/>
      <c r="X117" s="24" t="n"/>
      <c r="Y117" s="115">
        <f>G117</f>
        <v/>
      </c>
      <c r="AA117" s="17" t="n"/>
      <c r="AD117" s="23" t="n"/>
      <c r="AE117" s="273">
        <f>G117</f>
        <v/>
      </c>
      <c r="AF117" s="16" t="n"/>
      <c r="AG117" s="16" t="n"/>
      <c r="AH117" s="16" t="n"/>
      <c r="AI117" s="17" t="n"/>
    </row>
    <row r="118" ht="15" customHeight="1" s="520">
      <c r="A118" s="130" t="n"/>
      <c r="B118" s="8" t="n"/>
      <c r="C118" s="8" t="n"/>
      <c r="D118" s="8" t="n"/>
      <c r="E118" s="129" t="n"/>
      <c r="F118" s="8" t="n"/>
      <c r="G118" s="140" t="n"/>
      <c r="H118" s="228" t="n"/>
      <c r="I118" s="118" t="n"/>
      <c r="J118" s="118" t="n"/>
      <c r="K118" s="115" t="n"/>
      <c r="L118" s="115">
        <f>H118*Q118</f>
        <v/>
      </c>
      <c r="M118" s="115">
        <f>I118*Q118</f>
        <v/>
      </c>
      <c r="N118" s="227">
        <f>J118*Q118</f>
        <v/>
      </c>
      <c r="O118" s="162" t="n"/>
      <c r="P118" s="210" t="n">
        <v>0.2</v>
      </c>
      <c r="Q118" s="566" t="n">
        <v>0.2</v>
      </c>
      <c r="R118" s="574" t="n">
        <v>0.2</v>
      </c>
      <c r="S118" s="154" t="n">
        <v>46388</v>
      </c>
      <c r="T118" s="148" t="n"/>
      <c r="U118" s="148" t="n"/>
      <c r="V118" s="155" t="inlineStr">
        <is>
          <t>31.11.2027</t>
        </is>
      </c>
      <c r="W118" s="92" t="n"/>
      <c r="X118" s="24" t="n"/>
      <c r="Y118" s="115" t="n"/>
      <c r="Z118" s="140">
        <f>G118</f>
        <v/>
      </c>
      <c r="AA118" s="17" t="n"/>
      <c r="AD118" s="23" t="n"/>
      <c r="AE118" s="273">
        <f>G118</f>
        <v/>
      </c>
      <c r="AF118" s="16" t="n"/>
      <c r="AG118" s="16" t="n"/>
      <c r="AH118" s="16" t="n"/>
      <c r="AI118" s="17" t="n"/>
    </row>
    <row r="119" ht="15" customHeight="1" s="520">
      <c r="A119" s="2" t="n"/>
      <c r="B119" s="5" t="n"/>
      <c r="E119" s="129" t="n"/>
      <c r="G119" s="140" t="n"/>
      <c r="H119" s="228" t="n"/>
      <c r="I119" s="118" t="n"/>
      <c r="J119" s="118" t="n"/>
      <c r="K119" s="115" t="n"/>
      <c r="L119" s="514">
        <f>H119*Q119</f>
        <v/>
      </c>
      <c r="M119" s="115">
        <f>I119*Q119</f>
        <v/>
      </c>
      <c r="N119" s="227">
        <f>J119*Q119</f>
        <v/>
      </c>
      <c r="O119" s="172" t="n"/>
      <c r="P119" s="210" t="n">
        <v>0.25</v>
      </c>
      <c r="Q119" s="557" t="n">
        <v>0.26</v>
      </c>
      <c r="R119" s="558" t="n"/>
      <c r="S119" s="154" t="n">
        <v>46082</v>
      </c>
      <c r="T119" s="148" t="n"/>
      <c r="U119" s="148" t="n"/>
      <c r="V119" s="155" t="n">
        <v>45748</v>
      </c>
      <c r="W119" s="99" t="n"/>
      <c r="X119" s="24" t="n"/>
      <c r="Y119" s="5">
        <f>G119</f>
        <v/>
      </c>
      <c r="Z119" s="13" t="n"/>
      <c r="AA119" s="14" t="n"/>
      <c r="AB119" s="5" t="n"/>
      <c r="AC119" s="5" t="n"/>
      <c r="AD119" s="24" t="n"/>
      <c r="AE119" s="273">
        <f>#REF!</f>
        <v/>
      </c>
      <c r="AF119" s="16" t="n"/>
      <c r="AG119" s="16" t="n"/>
      <c r="AH119" s="16" t="n"/>
      <c r="AI119" s="14" t="n"/>
    </row>
    <row r="120" ht="15" customHeight="1" s="520">
      <c r="A120" s="130" t="n"/>
      <c r="B120" s="8" t="n"/>
      <c r="C120" s="8" t="n"/>
      <c r="D120" s="8" t="n"/>
      <c r="E120" s="129" t="n"/>
      <c r="F120" s="8" t="n"/>
      <c r="G120" s="140" t="n"/>
      <c r="H120" s="228" t="n"/>
      <c r="I120" s="118" t="n"/>
      <c r="J120" s="118" t="n"/>
      <c r="K120" s="115" t="n"/>
      <c r="L120" s="514">
        <f>H120*Q120</f>
        <v/>
      </c>
      <c r="M120" s="115">
        <f>I120*Q120</f>
        <v/>
      </c>
      <c r="N120" s="227">
        <f>J120*Q120</f>
        <v/>
      </c>
      <c r="O120" s="162" t="n"/>
      <c r="P120" s="210" t="n">
        <v>0.2</v>
      </c>
      <c r="Q120" s="566" t="n">
        <v>0.3</v>
      </c>
      <c r="R120" s="558" t="n">
        <v>0.35</v>
      </c>
      <c r="S120" s="154" t="n">
        <v>45778</v>
      </c>
      <c r="T120" s="148" t="n"/>
      <c r="U120" s="148" t="n"/>
      <c r="V120" s="155" t="n">
        <v>45809</v>
      </c>
      <c r="W120" s="92" t="n"/>
      <c r="Y120" s="274" t="n"/>
      <c r="Z120" s="140">
        <f>#REF!</f>
        <v/>
      </c>
      <c r="AA120" s="17" t="n"/>
      <c r="AD120" s="23" t="n"/>
      <c r="AE120" s="13">
        <f>#REF!</f>
        <v/>
      </c>
      <c r="AF120" s="115" t="n"/>
      <c r="AG120" s="140" t="n"/>
      <c r="AH120" s="16" t="n"/>
      <c r="AI120" s="118" t="n"/>
    </row>
    <row r="121" ht="15" customHeight="1" s="520">
      <c r="A121" s="2" t="n"/>
      <c r="B121" s="5" t="n"/>
      <c r="E121" s="129" t="n"/>
      <c r="G121" s="140" t="n"/>
      <c r="H121" s="228" t="n"/>
      <c r="I121" s="118" t="n"/>
      <c r="J121" s="118" t="n"/>
      <c r="K121" s="115" t="n"/>
      <c r="L121" s="115">
        <f>H121*Q121</f>
        <v/>
      </c>
      <c r="M121" s="115">
        <f>I121*Q121</f>
        <v/>
      </c>
      <c r="N121" s="227">
        <f>J121*Q121</f>
        <v/>
      </c>
      <c r="O121" s="172" t="n"/>
      <c r="P121" s="210" t="n">
        <v>0.15</v>
      </c>
      <c r="Q121" s="557" t="n">
        <v>0.26</v>
      </c>
      <c r="R121" s="558" t="n"/>
      <c r="S121" s="154" t="n">
        <v>46023</v>
      </c>
      <c r="T121" s="148" t="n"/>
      <c r="U121" s="148" t="n"/>
      <c r="V121" s="155" t="n">
        <v>46174</v>
      </c>
      <c r="W121" s="99" t="n"/>
      <c r="X121" s="24" t="n"/>
      <c r="Y121" s="13">
        <f>G121</f>
        <v/>
      </c>
      <c r="Z121" s="13" t="n"/>
      <c r="AA121" s="14" t="n"/>
      <c r="AB121" s="5" t="n"/>
      <c r="AC121" s="5" t="n"/>
      <c r="AD121" s="16" t="n"/>
      <c r="AE121" s="13">
        <f>G2</f>
        <v/>
      </c>
      <c r="AG121" s="22" t="n"/>
      <c r="AH121" s="22" t="n"/>
      <c r="AI121" s="14" t="n"/>
    </row>
    <row r="122" ht="15" customHeight="1" s="520">
      <c r="A122" s="130" t="n"/>
      <c r="B122" s="8" t="n"/>
      <c r="C122" s="8" t="n"/>
      <c r="D122" s="8" t="n"/>
      <c r="E122" s="129" t="n"/>
      <c r="F122" s="8" t="n"/>
      <c r="G122" s="140" t="n"/>
      <c r="H122" s="228" t="n"/>
      <c r="I122" s="118" t="n"/>
      <c r="J122" s="118" t="n"/>
      <c r="K122" s="115" t="n"/>
      <c r="L122" s="514">
        <f>H122*Q122</f>
        <v/>
      </c>
      <c r="M122" s="115">
        <f>I122*Q122</f>
        <v/>
      </c>
      <c r="N122" s="227">
        <f>J122*Q122</f>
        <v/>
      </c>
      <c r="O122" s="162" t="n"/>
      <c r="P122" s="210" t="n">
        <v>0.15</v>
      </c>
      <c r="Q122" s="566" t="n">
        <v>0.25</v>
      </c>
      <c r="R122" s="574" t="n"/>
      <c r="S122" s="154" t="n">
        <v>45809</v>
      </c>
      <c r="T122" s="148" t="n"/>
      <c r="U122" s="148" t="n"/>
      <c r="V122" s="155" t="n">
        <v>45962</v>
      </c>
      <c r="W122" s="92" t="n"/>
      <c r="X122" s="24" t="n"/>
      <c r="Y122" s="115">
        <f>G122</f>
        <v/>
      </c>
      <c r="Z122" s="115" t="n"/>
      <c r="AA122" s="17" t="n"/>
      <c r="AD122" s="23">
        <f>G122</f>
        <v/>
      </c>
      <c r="AE122" s="273" t="n"/>
      <c r="AF122" s="16" t="n"/>
      <c r="AG122" s="16" t="n"/>
      <c r="AH122" s="16" t="n"/>
      <c r="AI122" s="118" t="n"/>
    </row>
    <row r="123" ht="15" customHeight="1" s="520">
      <c r="A123" s="130" t="n"/>
      <c r="B123" s="8" t="n"/>
      <c r="C123" s="8" t="n"/>
      <c r="D123" s="8" t="n"/>
      <c r="E123" s="129" t="n"/>
      <c r="F123" s="8" t="n"/>
      <c r="G123" s="140" t="n"/>
      <c r="H123" s="228" t="n"/>
      <c r="I123" s="118" t="n"/>
      <c r="J123" s="118" t="n"/>
      <c r="K123" s="115" t="n"/>
      <c r="L123" s="115">
        <f>H123*Q123</f>
        <v/>
      </c>
      <c r="M123" s="115">
        <f>I123*Q123</f>
        <v/>
      </c>
      <c r="N123" s="227">
        <f>J123*Q123</f>
        <v/>
      </c>
      <c r="O123" s="162" t="n"/>
      <c r="P123" s="210" t="n">
        <v>0.4</v>
      </c>
      <c r="Q123" s="566" t="n">
        <v>0.21</v>
      </c>
      <c r="R123" s="574" t="n">
        <v>0.25</v>
      </c>
      <c r="S123" s="154" t="n">
        <v>46388</v>
      </c>
      <c r="T123" s="148" t="n"/>
      <c r="U123" s="148" t="n"/>
      <c r="V123" s="155" t="n">
        <v>46722</v>
      </c>
      <c r="W123" s="92" t="n"/>
      <c r="X123" s="24" t="n"/>
      <c r="Y123" s="115" t="n"/>
      <c r="Z123" s="115">
        <f>G123</f>
        <v/>
      </c>
      <c r="AA123" s="17" t="n"/>
      <c r="AD123" s="23" t="n"/>
      <c r="AE123" s="273" t="n"/>
      <c r="AF123" s="16" t="n"/>
      <c r="AG123" s="16" t="n"/>
      <c r="AH123" s="16" t="n"/>
      <c r="AI123" s="118">
        <f>G123</f>
        <v/>
      </c>
    </row>
    <row r="124" ht="15" customHeight="1" s="520">
      <c r="A124" s="130" t="n"/>
      <c r="B124" s="8" t="n"/>
      <c r="C124" s="8" t="n"/>
      <c r="D124" s="8" t="n"/>
      <c r="E124" s="129" t="n"/>
      <c r="F124" s="8" t="n"/>
      <c r="G124" s="140" t="n"/>
      <c r="H124" s="228" t="n"/>
      <c r="I124" s="118" t="n"/>
      <c r="J124" s="118" t="n"/>
      <c r="K124" s="115" t="n"/>
      <c r="L124" s="115">
        <f>H124*Q124</f>
        <v/>
      </c>
      <c r="M124" s="115">
        <f>I124*Q124</f>
        <v/>
      </c>
      <c r="N124" s="227">
        <f>J124*Q124</f>
        <v/>
      </c>
      <c r="O124" s="162" t="n"/>
      <c r="P124" s="210" t="n">
        <v>0.7</v>
      </c>
      <c r="Q124" s="566" t="n">
        <v>0.25</v>
      </c>
      <c r="R124" s="558" t="n">
        <v>0.3</v>
      </c>
      <c r="S124" s="154" t="n">
        <v>46082</v>
      </c>
      <c r="T124" s="148" t="n"/>
      <c r="U124" s="148" t="n"/>
      <c r="V124" s="155" t="n">
        <v>46143</v>
      </c>
      <c r="W124" s="92" t="n"/>
      <c r="X124" s="24" t="n"/>
      <c r="Y124" s="13">
        <f>G124</f>
        <v/>
      </c>
      <c r="Z124" s="115" t="n"/>
      <c r="AA124" s="17" t="n"/>
      <c r="AD124" s="180">
        <f>G124</f>
        <v/>
      </c>
      <c r="AE124" s="16" t="n"/>
      <c r="AF124" s="140" t="n"/>
      <c r="AG124" s="228" t="n"/>
      <c r="AH124" s="16" t="n"/>
      <c r="AI124" s="118" t="n"/>
    </row>
    <row r="125" ht="15" customHeight="1" s="520">
      <c r="A125" s="130" t="n"/>
      <c r="B125" s="12" t="n"/>
      <c r="C125" s="8" t="n"/>
      <c r="D125" s="8" t="n"/>
      <c r="E125" s="345" t="n"/>
      <c r="F125" s="8" t="n"/>
      <c r="G125" s="140" t="n"/>
      <c r="H125" s="228" t="n"/>
      <c r="I125" s="17" t="n"/>
      <c r="J125" s="118" t="n"/>
      <c r="K125" s="115" t="n"/>
      <c r="L125" s="115">
        <f>H125*Q125</f>
        <v/>
      </c>
      <c r="M125" s="115">
        <f>I125*Q125</f>
        <v/>
      </c>
      <c r="N125" s="115">
        <f>J125*Q125</f>
        <v/>
      </c>
      <c r="O125" s="183" t="n"/>
      <c r="P125" s="210" t="n">
        <v>0.3</v>
      </c>
      <c r="Q125" s="566" t="n">
        <v>0.22</v>
      </c>
      <c r="R125" s="574" t="n">
        <v>0.27</v>
      </c>
      <c r="S125" s="154" t="n">
        <v>46447</v>
      </c>
      <c r="T125" s="148" t="n"/>
      <c r="U125" s="148" t="n"/>
      <c r="V125" s="155" t="n">
        <v>46722</v>
      </c>
      <c r="W125" s="99" t="n"/>
      <c r="X125" s="23" t="n"/>
      <c r="Y125" s="13">
        <f>G125</f>
        <v/>
      </c>
      <c r="Z125" s="69" t="n"/>
      <c r="AA125" s="394" t="n"/>
      <c r="AB125" s="69" t="n"/>
      <c r="AD125" s="23" t="n"/>
      <c r="AE125" s="5" t="n"/>
      <c r="AF125" s="140">
        <f>G125</f>
        <v/>
      </c>
      <c r="AG125" s="90" t="n"/>
      <c r="AH125" s="16" t="n"/>
      <c r="AI125" s="118" t="n"/>
    </row>
    <row r="126" ht="15" customHeight="1" s="520">
      <c r="A126" s="130" t="n"/>
      <c r="B126" s="8" t="n"/>
      <c r="C126" s="8" t="n"/>
      <c r="D126" s="8" t="n"/>
      <c r="E126" s="129" t="n"/>
      <c r="F126" s="8" t="n"/>
      <c r="G126" s="140" t="n"/>
      <c r="H126" s="228" t="n"/>
      <c r="I126" s="118" t="n"/>
      <c r="J126" s="118" t="n"/>
      <c r="K126" s="115" t="n"/>
      <c r="L126" s="514">
        <f>H126*Q126</f>
        <v/>
      </c>
      <c r="M126" s="115">
        <f>I126*Q126</f>
        <v/>
      </c>
      <c r="N126" s="227">
        <f>J126*Q126</f>
        <v/>
      </c>
      <c r="O126" s="162" t="n"/>
      <c r="P126" s="210" t="n">
        <v>0.2</v>
      </c>
      <c r="Q126" s="566" t="n">
        <v>0.27</v>
      </c>
      <c r="R126" s="558" t="n">
        <v>0.31</v>
      </c>
      <c r="S126" s="154" t="n">
        <v>45809</v>
      </c>
      <c r="T126" s="148" t="n"/>
      <c r="U126" s="148" t="n"/>
      <c r="V126" s="155" t="n">
        <v>45901</v>
      </c>
      <c r="W126" s="92" t="n"/>
      <c r="X126" s="24" t="n"/>
      <c r="Y126" s="140">
        <f>G126</f>
        <v/>
      </c>
      <c r="Z126" s="115">
        <f>#REF!</f>
        <v/>
      </c>
      <c r="AA126" s="17" t="n"/>
      <c r="AD126" s="23" t="n"/>
      <c r="AE126" s="5" t="n"/>
      <c r="AF126" s="140" t="n"/>
      <c r="AG126" s="228" t="n"/>
      <c r="AH126" s="16" t="n"/>
      <c r="AI126" s="118">
        <f>G126</f>
        <v/>
      </c>
    </row>
    <row r="127" ht="15" customHeight="1" s="520">
      <c r="A127" s="130" t="n"/>
      <c r="B127" s="5" t="n"/>
      <c r="E127" s="129" t="n"/>
      <c r="G127" s="140" t="n"/>
      <c r="H127" s="228" t="n"/>
      <c r="I127" s="118" t="n"/>
      <c r="J127" s="118" t="n"/>
      <c r="K127" s="115" t="n"/>
      <c r="L127" s="115">
        <f>H127*Q127</f>
        <v/>
      </c>
      <c r="M127" s="115">
        <f>I127*Q127</f>
        <v/>
      </c>
      <c r="N127" s="227">
        <f>J127*Q127</f>
        <v/>
      </c>
      <c r="O127" s="172" t="n"/>
      <c r="P127" s="210" t="n">
        <v>0.5</v>
      </c>
      <c r="Q127" s="557" t="n">
        <v>0.32</v>
      </c>
      <c r="R127" s="558" t="n">
        <v>0.37</v>
      </c>
      <c r="S127" s="154" t="n">
        <v>46082</v>
      </c>
      <c r="T127" s="148" t="n"/>
      <c r="U127" s="148" t="n"/>
      <c r="V127" s="155" t="n">
        <v>46174</v>
      </c>
      <c r="W127" s="99" t="n"/>
      <c r="X127" s="24" t="n"/>
      <c r="Y127" s="13">
        <f>G127</f>
        <v/>
      </c>
      <c r="Z127" s="5" t="n"/>
      <c r="AA127" s="14" t="n"/>
      <c r="AB127" s="5" t="n"/>
      <c r="AC127" s="5" t="n"/>
      <c r="AD127" s="274">
        <f>G127</f>
        <v/>
      </c>
      <c r="AE127" s="5" t="n"/>
      <c r="AF127" s="16" t="n"/>
      <c r="AG127" s="90" t="n"/>
      <c r="AH127" s="16" t="n"/>
      <c r="AI127" s="14" t="n"/>
    </row>
    <row r="128" ht="15" customHeight="1" s="520">
      <c r="A128" s="130" t="n"/>
      <c r="B128" s="5" t="n"/>
      <c r="E128" s="129" t="n"/>
      <c r="G128" s="140" t="n"/>
      <c r="H128" s="228" t="n"/>
      <c r="I128" s="118" t="n"/>
      <c r="J128" s="271" t="n"/>
      <c r="K128" s="115" t="n"/>
      <c r="L128" s="115">
        <f>H128*Q128</f>
        <v/>
      </c>
      <c r="M128" s="115">
        <f>I128*Q128</f>
        <v/>
      </c>
      <c r="N128" s="227">
        <f>J128*Q128</f>
        <v/>
      </c>
      <c r="O128" s="172" t="n"/>
      <c r="P128" s="210" t="n">
        <v>0.5</v>
      </c>
      <c r="Q128" s="557" t="n">
        <v>0.3</v>
      </c>
      <c r="R128" s="558" t="n">
        <v>0.3</v>
      </c>
      <c r="S128" s="154" t="n">
        <v>45945</v>
      </c>
      <c r="T128" s="148" t="n"/>
      <c r="U128" s="148" t="n"/>
      <c r="V128" s="155" t="n">
        <v>45991</v>
      </c>
      <c r="W128" s="99" t="n"/>
      <c r="X128" s="24" t="n"/>
      <c r="Y128" s="13">
        <f>G128</f>
        <v/>
      </c>
      <c r="Z128" s="13" t="n"/>
      <c r="AA128" s="14" t="n"/>
      <c r="AB128" s="5" t="n"/>
      <c r="AC128" s="5" t="n"/>
      <c r="AD128" s="274">
        <f>G128</f>
        <v/>
      </c>
      <c r="AE128" s="13" t="n"/>
      <c r="AF128" s="16" t="n"/>
      <c r="AG128" s="16" t="n"/>
      <c r="AH128" s="16" t="n"/>
      <c r="AI128" s="14" t="n"/>
    </row>
    <row r="129" ht="15" customHeight="1" s="520">
      <c r="A129" s="2" t="n"/>
      <c r="B129" s="3" t="n"/>
      <c r="C129" s="3" t="n"/>
      <c r="D129" s="3" t="n"/>
      <c r="E129" s="129" t="n"/>
      <c r="F129" s="3" t="n"/>
      <c r="G129" s="257" t="n"/>
      <c r="H129" s="279" t="n"/>
      <c r="I129" s="122" t="n"/>
      <c r="J129" s="122" t="n"/>
      <c r="K129" s="115" t="n"/>
      <c r="L129" s="115" t="n"/>
      <c r="M129" s="115" t="n"/>
      <c r="N129" s="227" t="n"/>
      <c r="O129" s="172" t="n"/>
      <c r="Q129" s="557" t="n"/>
      <c r="R129" s="558" t="n"/>
      <c r="S129" s="154" t="n"/>
      <c r="T129" s="148" t="n"/>
      <c r="U129" s="148" t="n"/>
      <c r="V129" s="155" t="n"/>
      <c r="W129" s="92" t="n"/>
      <c r="X129" s="24" t="n"/>
      <c r="Y129" s="13" t="n"/>
      <c r="Z129" s="16" t="n"/>
      <c r="AA129" s="17" t="n"/>
      <c r="AD129" s="24" t="n"/>
      <c r="AE129" s="16" t="n"/>
      <c r="AF129" s="16" t="n"/>
      <c r="AG129" s="16" t="n"/>
      <c r="AH129" s="16" t="n"/>
      <c r="AI129" s="17" t="n"/>
    </row>
    <row r="130" ht="15" customHeight="1" s="520" thickBot="1">
      <c r="A130" s="319" t="inlineStr">
        <is>
          <t>Prospect total</t>
        </is>
      </c>
      <c r="B130" s="320" t="n"/>
      <c r="C130" s="320" t="n"/>
      <c r="D130" s="320" t="n"/>
      <c r="E130" s="137" t="n"/>
      <c r="F130" s="321" t="n"/>
      <c r="G130" s="263">
        <f>SUM(G70:G129)</f>
        <v/>
      </c>
      <c r="H130" s="322">
        <f>SUM(H70:H129)</f>
        <v/>
      </c>
      <c r="I130" s="322">
        <f>SUM(I70:I129)</f>
        <v/>
      </c>
      <c r="J130" s="323">
        <f>SUM(J70:J129)</f>
        <v/>
      </c>
      <c r="K130" s="116" t="n"/>
      <c r="L130" s="322">
        <f>SUM(L70:L129)</f>
        <v/>
      </c>
      <c r="M130" s="322">
        <f>SUM(M70:M129)</f>
        <v/>
      </c>
      <c r="N130" s="322">
        <f>SUM(L70:L129)</f>
        <v/>
      </c>
      <c r="O130" s="324" t="inlineStr">
        <is>
          <t>Moyen</t>
        </is>
      </c>
      <c r="P130" s="69">
        <f t="array" ref="P130">SUM(H70:J129/SUM(G70:G129))</f>
        <v/>
      </c>
      <c r="Q130" s="325" t="n"/>
      <c r="R130" s="326" t="n"/>
      <c r="S130" s="160" t="n"/>
      <c r="T130" s="151" t="n"/>
      <c r="U130" s="151" t="n"/>
      <c r="V130" s="161" t="n"/>
      <c r="W130" s="95" t="n"/>
      <c r="X130" s="327">
        <f>SUM(X70:X129)+SUM(X135:X157)</f>
        <v/>
      </c>
      <c r="Y130" s="327">
        <f>SUM(Y70:Y129)</f>
        <v/>
      </c>
      <c r="Z130" s="327">
        <f>SUM(Z70:Z129)</f>
        <v/>
      </c>
      <c r="AA130" s="327">
        <f>SUM(AA70:AA129)</f>
        <v/>
      </c>
      <c r="AB130" s="12">
        <f>SUM(X130:AA130)</f>
        <v/>
      </c>
      <c r="AC130" s="12" t="n"/>
      <c r="AD130" s="327">
        <f>SUM(AD70:AD129)</f>
        <v/>
      </c>
      <c r="AE130" s="327">
        <f>SUM(AE70:AE129)</f>
        <v/>
      </c>
      <c r="AF130" s="327">
        <f>SUM(AF70:AF129)</f>
        <v/>
      </c>
      <c r="AG130" s="327">
        <f>SUM(AG70:AG129)</f>
        <v/>
      </c>
      <c r="AH130" s="327">
        <f>SUM(AH70:AH129)</f>
        <v/>
      </c>
      <c r="AI130" s="327">
        <f>SUM(AI70:AI129)</f>
        <v/>
      </c>
      <c r="AJ130" s="12">
        <f>SUM(AD130:AI130)</f>
        <v/>
      </c>
      <c r="AK130" s="5">
        <f>SUM(AD130:AI130)</f>
        <v/>
      </c>
    </row>
    <row r="131" ht="15" customHeight="1" s="520" thickBot="1">
      <c r="A131" s="2" t="n"/>
      <c r="E131" s="129" t="n"/>
      <c r="G131" s="13" t="n"/>
      <c r="H131" s="9" t="n"/>
      <c r="I131" s="51" t="n"/>
      <c r="J131" s="51" t="n"/>
      <c r="K131" s="9" t="n"/>
      <c r="L131" s="9" t="n"/>
      <c r="M131" s="210">
        <f>M130/I130</f>
        <v/>
      </c>
      <c r="O131" s="513" t="n"/>
      <c r="P131" s="176" t="n"/>
      <c r="Q131" s="280" t="n"/>
      <c r="R131" s="281" t="n"/>
      <c r="S131" s="162" t="n"/>
      <c r="T131" s="100" t="n"/>
      <c r="U131" s="100" t="n"/>
      <c r="V131" s="163" t="n"/>
      <c r="W131" s="100" t="n"/>
      <c r="X131" s="85">
        <f>X130/$AB130</f>
        <v/>
      </c>
      <c r="Y131" s="85">
        <f>Y130/$AB130</f>
        <v/>
      </c>
      <c r="Z131" s="85">
        <f>Z130/$AB130</f>
        <v/>
      </c>
      <c r="AA131" s="85">
        <f>AA130/$AB130</f>
        <v/>
      </c>
      <c r="AB131" s="69">
        <f>SUM(X131:AA131)</f>
        <v/>
      </c>
      <c r="AC131" s="69" t="n"/>
      <c r="AD131" s="85">
        <f>AD130/$AK130</f>
        <v/>
      </c>
      <c r="AE131" s="85">
        <f>AE130/$AK130</f>
        <v/>
      </c>
      <c r="AF131" s="85">
        <f>AF130/$AK130</f>
        <v/>
      </c>
      <c r="AG131" s="85">
        <f>AG130/$AK130</f>
        <v/>
      </c>
      <c r="AH131" s="85">
        <f>AH130/$AK130</f>
        <v/>
      </c>
      <c r="AI131" s="85">
        <f>AI130/$AK130</f>
        <v/>
      </c>
      <c r="AJ131" s="69">
        <f>SUM(AD131:AI131)</f>
        <v/>
      </c>
      <c r="AK131" s="69">
        <f>SUM(AD131:AI131)</f>
        <v/>
      </c>
    </row>
    <row r="132" ht="15" customHeight="1" s="520" thickBot="1">
      <c r="A132" s="2" t="inlineStr">
        <is>
          <t>Total pipeline projet</t>
        </is>
      </c>
      <c r="G132" s="262">
        <f>+G130+G65</f>
        <v/>
      </c>
      <c r="H132" s="5">
        <f>+H130+H65</f>
        <v/>
      </c>
      <c r="I132" s="5">
        <f>+I130+I65</f>
        <v/>
      </c>
      <c r="J132" s="5">
        <f>+J130</f>
        <v/>
      </c>
      <c r="K132" s="9" t="n"/>
      <c r="L132" s="9" t="n"/>
      <c r="M132" s="9" t="n"/>
      <c r="N132" s="5">
        <f>+N130+N65</f>
        <v/>
      </c>
      <c r="O132" s="513" t="n"/>
      <c r="P132" s="176" t="n"/>
      <c r="Q132" s="280" t="n"/>
      <c r="R132" s="281" t="n"/>
      <c r="S132" s="162" t="n"/>
      <c r="T132" s="100" t="n"/>
      <c r="U132" s="100" t="n"/>
      <c r="V132" s="163" t="n"/>
      <c r="W132" s="100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</row>
    <row r="133" ht="15" customHeight="1" s="520" thickBot="1">
      <c r="A133" s="512" t="inlineStr">
        <is>
          <t>SOUMISSION</t>
        </is>
      </c>
      <c r="B133" s="505" t="n"/>
      <c r="C133" s="505" t="n"/>
      <c r="D133" s="505" t="n"/>
      <c r="E133" s="505" t="n"/>
      <c r="F133" s="505" t="n"/>
      <c r="G133" s="505" t="n"/>
      <c r="H133" s="505" t="n"/>
      <c r="I133" s="505" t="n"/>
      <c r="J133" s="283" t="n"/>
      <c r="K133" s="282" t="n"/>
      <c r="L133" s="282" t="n"/>
      <c r="M133" s="282" t="n"/>
      <c r="N133" s="215">
        <f>IFERROR(+N132/H132,0)</f>
        <v/>
      </c>
      <c r="O133" s="103" t="inlineStr">
        <is>
          <t>PDC</t>
        </is>
      </c>
      <c r="P133" s="483" t="n"/>
      <c r="Q133" s="484" t="n"/>
      <c r="R133" s="485" t="n"/>
      <c r="S133" s="103" t="inlineStr">
        <is>
          <t>PLANNING</t>
        </is>
      </c>
      <c r="T133" s="104" t="n"/>
      <c r="U133" s="104" t="n"/>
      <c r="V133" s="105" t="n"/>
      <c r="W133" s="100" t="n"/>
      <c r="X133" s="69" t="n"/>
      <c r="Y133" s="69" t="n"/>
      <c r="Z133" s="69" t="n"/>
      <c r="AA133" s="69" t="n"/>
      <c r="AB133" s="69" t="n"/>
      <c r="AC133" s="69" t="n"/>
      <c r="AD133" s="504" t="inlineStr">
        <is>
          <t>REPARTITION PAR CATEGORIE D'OUVRAGE</t>
        </is>
      </c>
      <c r="AE133" s="505" t="n"/>
      <c r="AF133" s="505" t="n"/>
      <c r="AG133" s="505" t="n"/>
      <c r="AH133" s="505" t="n"/>
      <c r="AI133" s="506" t="n"/>
      <c r="AJ133" s="69" t="n"/>
    </row>
    <row r="134" ht="21.5" customHeight="1" s="520" thickBot="1">
      <c r="A134" s="513" t="n"/>
      <c r="J134" s="313" t="n"/>
      <c r="K134" s="282" t="n"/>
      <c r="L134" s="282" t="n"/>
      <c r="M134" s="282" t="n"/>
      <c r="O134" s="197" t="inlineStr">
        <is>
          <t>Date d'adjudication</t>
        </is>
      </c>
      <c r="P134" s="198" t="inlineStr">
        <is>
          <t xml:space="preserve">Prob. reussite </t>
        </is>
      </c>
      <c r="Q134" s="199" t="inlineStr">
        <is>
          <t>taux de marge actuel</t>
        </is>
      </c>
      <c r="R134" s="242" t="n"/>
      <c r="S134" s="194" t="inlineStr">
        <is>
          <t xml:space="preserve">Debut </t>
        </is>
      </c>
      <c r="T134" s="195" t="inlineStr">
        <is>
          <t>Arret</t>
        </is>
      </c>
      <c r="U134" s="195" t="inlineStr">
        <is>
          <t xml:space="preserve">Arret </t>
        </is>
      </c>
      <c r="V134" s="196" t="inlineStr">
        <is>
          <t>Fin</t>
        </is>
      </c>
      <c r="W134" s="100" t="n"/>
      <c r="X134" s="69" t="n"/>
      <c r="Y134" s="69" t="n"/>
      <c r="Z134" s="69" t="n"/>
      <c r="AA134" s="69" t="n"/>
      <c r="AB134" s="69" t="n"/>
      <c r="AC134" s="69" t="n"/>
      <c r="AD134" s="2" t="n"/>
      <c r="AI134" s="52" t="n"/>
      <c r="AJ134" s="69" t="n"/>
    </row>
    <row r="135" ht="15" customHeight="1" s="520">
      <c r="A135" s="314" t="n"/>
      <c r="B135" s="315" t="n"/>
      <c r="C135" s="315" t="n"/>
      <c r="D135" s="315" t="n"/>
      <c r="E135" s="316" t="inlineStr">
        <is>
          <t>Base</t>
        </is>
      </c>
      <c r="F135" s="315" t="n"/>
      <c r="G135" s="18" t="inlineStr">
        <is>
          <t>Montant</t>
        </is>
      </c>
      <c r="H135" s="317" t="n">
        <v>2025</v>
      </c>
      <c r="I135" s="318" t="n">
        <v>2026</v>
      </c>
      <c r="J135" s="318" t="n">
        <v>2027</v>
      </c>
      <c r="K135" s="101" t="n"/>
      <c r="L135" s="101" t="n"/>
      <c r="M135" s="101" t="n"/>
      <c r="O135" s="183" t="n"/>
      <c r="Q135" s="280" t="n"/>
      <c r="R135" s="281" t="n"/>
      <c r="S135" s="162" t="n"/>
      <c r="T135" s="100" t="n"/>
      <c r="U135" s="100" t="n"/>
      <c r="V135" s="163" t="n"/>
      <c r="W135" s="100" t="n"/>
      <c r="X135" s="63" t="inlineStr">
        <is>
          <t>SOUMISSION</t>
        </is>
      </c>
      <c r="Y135" s="70" t="inlineStr">
        <is>
          <t>DEVIS Gré à gré</t>
        </is>
      </c>
      <c r="Z135" s="70" t="inlineStr">
        <is>
          <t xml:space="preserve">DEVIS Mis en conccurence </t>
        </is>
      </c>
      <c r="AA135" s="71" t="inlineStr">
        <is>
          <t>DEVIS Concours d'étude</t>
        </is>
      </c>
      <c r="AB135" s="69" t="n"/>
      <c r="AC135" s="69" t="n"/>
      <c r="AD135" s="60" t="inlineStr">
        <is>
          <t>JARDIN PRIVE</t>
        </is>
      </c>
      <c r="AE135" s="61" t="inlineStr">
        <is>
          <t>LOGEMENTS COLLECTIFS</t>
        </is>
      </c>
      <c r="AF135" s="61" t="inlineStr">
        <is>
          <t>ESPACE PUBLIC</t>
        </is>
      </c>
      <c r="AG135" s="67" t="inlineStr">
        <is>
          <t>BUREAUX/ ENTREPRISES</t>
        </is>
      </c>
      <c r="AH135" s="67" t="inlineStr">
        <is>
          <t>ORG. INTERNATIONAUX</t>
        </is>
      </c>
      <c r="AI135" s="62" t="inlineStr">
        <is>
          <t>AUTRES</t>
        </is>
      </c>
      <c r="AJ135" s="69" t="n"/>
    </row>
    <row r="136" ht="15" customHeight="1" s="520">
      <c r="E136" s="200" t="n"/>
      <c r="F136" s="487" t="n"/>
      <c r="G136" s="284" t="n"/>
      <c r="H136" s="495" t="n"/>
      <c r="I136" s="496" t="n"/>
      <c r="J136" s="488" t="n"/>
      <c r="K136" s="489" t="n"/>
      <c r="L136" s="115" t="n"/>
      <c r="M136" s="115" t="n"/>
      <c r="N136" s="227" t="n"/>
      <c r="O136" s="490" t="n"/>
      <c r="P136" s="497" t="n"/>
      <c r="Q136" s="285" t="n"/>
      <c r="R136" s="278" t="n"/>
      <c r="S136" s="162" t="n"/>
      <c r="T136" s="559" t="n"/>
      <c r="U136" s="100" t="n"/>
      <c r="V136" s="163" t="n"/>
      <c r="W136" s="100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</row>
    <row r="137" ht="15" customHeight="1" s="520">
      <c r="A137" s="113" t="inlineStr">
        <is>
          <t>Juret</t>
        </is>
      </c>
      <c r="E137" s="200" t="inlineStr">
        <is>
          <t>CCCCCCC</t>
        </is>
      </c>
      <c r="F137" s="99" t="n"/>
      <c r="G137" s="328" t="n">
        <v>119121</v>
      </c>
      <c r="H137" s="140" t="n"/>
      <c r="I137" s="118">
        <f>+P137*G137</f>
        <v/>
      </c>
      <c r="J137" s="118" t="n"/>
      <c r="K137" s="115" t="n"/>
      <c r="L137" s="115" t="n"/>
      <c r="M137" s="115">
        <f>I137*Q137</f>
        <v/>
      </c>
      <c r="N137" s="227" t="n"/>
      <c r="O137" s="172" t="n"/>
      <c r="P137" s="277" t="n">
        <v>0.05</v>
      </c>
      <c r="Q137" s="566" t="n">
        <v>0.17</v>
      </c>
      <c r="R137" s="566" t="n">
        <v>0.23</v>
      </c>
      <c r="S137" s="162" t="n">
        <v>46082</v>
      </c>
      <c r="T137" s="559" t="n"/>
      <c r="U137" s="100" t="n"/>
      <c r="V137" s="163" t="n">
        <v>46174</v>
      </c>
      <c r="W137" s="100" t="n"/>
      <c r="X137" s="564">
        <f>G137</f>
        <v/>
      </c>
      <c r="Y137" s="69" t="n"/>
      <c r="Z137" s="69" t="n"/>
      <c r="AA137" s="69" t="n"/>
      <c r="AB137" s="69" t="n"/>
      <c r="AC137" s="69" t="n"/>
      <c r="AF137" s="562">
        <f>G137</f>
        <v/>
      </c>
      <c r="AG137" s="562" t="n"/>
      <c r="AH137" s="562" t="n"/>
      <c r="AI137" s="562" t="n"/>
      <c r="AJ137" s="69" t="n"/>
    </row>
    <row r="138" ht="15" customHeight="1" s="520">
      <c r="A138" s="113" t="inlineStr">
        <is>
          <t xml:space="preserve">Chene </t>
        </is>
      </c>
      <c r="E138" s="200" t="inlineStr">
        <is>
          <t>DDDDDD</t>
        </is>
      </c>
      <c r="F138" s="99" t="n"/>
      <c r="G138" s="328" t="n">
        <v>34686</v>
      </c>
      <c r="H138" s="140" t="n"/>
      <c r="I138" s="118">
        <f>+P138*G138</f>
        <v/>
      </c>
      <c r="J138" s="118" t="n"/>
      <c r="K138" s="115" t="n"/>
      <c r="L138" s="115" t="n"/>
      <c r="M138" s="115">
        <f>I138*Q138</f>
        <v/>
      </c>
      <c r="N138" s="227" t="n"/>
      <c r="O138" s="172" t="n"/>
      <c r="P138" s="277" t="n">
        <v>0.15</v>
      </c>
      <c r="Q138" s="566" t="n">
        <v>0.25</v>
      </c>
      <c r="R138" s="566" t="n">
        <v>0.25</v>
      </c>
      <c r="S138" s="162" t="n">
        <v>46113</v>
      </c>
      <c r="T138" s="559" t="n"/>
      <c r="U138" s="100" t="n"/>
      <c r="V138" s="163" t="n">
        <v>46174</v>
      </c>
      <c r="W138" s="100" t="n"/>
      <c r="X138" s="564">
        <f>G138</f>
        <v/>
      </c>
      <c r="Y138" s="69" t="n"/>
      <c r="Z138" s="69" t="n"/>
      <c r="AA138" s="69" t="n"/>
      <c r="AB138" s="69" t="n"/>
      <c r="AC138" s="69" t="n"/>
      <c r="AF138" s="562">
        <f>G138</f>
        <v/>
      </c>
      <c r="AG138" s="562" t="n"/>
      <c r="AH138" s="562" t="n"/>
      <c r="AI138" s="562" t="n"/>
      <c r="AJ138" s="69" t="n"/>
    </row>
    <row r="139">
      <c r="A139" s="113" t="inlineStr">
        <is>
          <t xml:space="preserve">Casai </t>
        </is>
      </c>
      <c r="E139" s="200" t="inlineStr">
        <is>
          <t>EEEEEE</t>
        </is>
      </c>
      <c r="F139" s="99" t="n"/>
      <c r="G139" s="328" t="n">
        <v>2931346</v>
      </c>
      <c r="H139" s="140" t="n"/>
      <c r="I139" s="118" t="n">
        <v>0</v>
      </c>
      <c r="J139" s="118">
        <f>+G139*P139</f>
        <v/>
      </c>
      <c r="K139" s="115" t="n"/>
      <c r="L139" s="115" t="n"/>
      <c r="M139" s="115">
        <f>I139*Q139</f>
        <v/>
      </c>
      <c r="N139" s="227" t="n"/>
      <c r="O139" s="454" t="n"/>
      <c r="P139" s="277" t="n">
        <v>0.05</v>
      </c>
      <c r="Q139" s="566" t="n">
        <v>0.23</v>
      </c>
      <c r="R139" s="566" t="n">
        <v>0.23</v>
      </c>
      <c r="S139" s="162" t="n">
        <v>46419</v>
      </c>
      <c r="T139" s="559" t="n"/>
      <c r="U139" s="100" t="n"/>
      <c r="V139" s="163" t="n">
        <v>46692</v>
      </c>
      <c r="W139" s="100" t="n"/>
      <c r="X139" s="564">
        <f>G139</f>
        <v/>
      </c>
      <c r="Y139" s="69" t="n"/>
      <c r="Z139" s="69" t="n"/>
      <c r="AA139" s="69" t="n"/>
      <c r="AB139" s="69" t="n"/>
      <c r="AC139" s="69" t="n"/>
      <c r="AE139" s="562">
        <f>G139</f>
        <v/>
      </c>
      <c r="AF139" s="567" t="n"/>
      <c r="AG139" s="562" t="n"/>
      <c r="AH139" s="562" t="n"/>
      <c r="AI139" s="562" t="n"/>
      <c r="AJ139" s="69" t="n"/>
    </row>
    <row r="140" ht="15" customHeight="1" s="520">
      <c r="A140" s="113" t="n"/>
      <c r="E140" s="200" t="n"/>
      <c r="F140" s="99" t="n"/>
      <c r="G140" s="328" t="n"/>
      <c r="H140" s="140" t="n"/>
      <c r="I140" s="118" t="n"/>
      <c r="J140" s="118" t="n"/>
      <c r="K140" s="115" t="n"/>
      <c r="L140" s="115">
        <f>H140*Q140</f>
        <v/>
      </c>
      <c r="M140" s="115">
        <f>I140*Q140</f>
        <v/>
      </c>
      <c r="N140" s="227">
        <f>J140*Q140</f>
        <v/>
      </c>
      <c r="O140" s="172" t="n"/>
      <c r="P140" s="277" t="n">
        <v>0.15</v>
      </c>
      <c r="Q140" s="566" t="n">
        <v>0.195</v>
      </c>
      <c r="R140" s="566" t="n">
        <v>0.195</v>
      </c>
      <c r="S140" s="162" t="n">
        <v>46054</v>
      </c>
      <c r="T140" s="559" t="n"/>
      <c r="U140" s="100" t="n"/>
      <c r="V140" s="163" t="n">
        <v>46692</v>
      </c>
      <c r="W140" s="100" t="n"/>
      <c r="X140" s="564">
        <f>G140</f>
        <v/>
      </c>
      <c r="Y140" s="69" t="n"/>
      <c r="Z140" s="69" t="n"/>
      <c r="AA140" s="69" t="n"/>
      <c r="AB140" s="69" t="n"/>
      <c r="AC140" s="69" t="n"/>
      <c r="AE140" s="562">
        <f>G140</f>
        <v/>
      </c>
      <c r="AF140" s="567" t="n"/>
      <c r="AG140" s="562" t="n"/>
      <c r="AH140" s="562" t="n"/>
      <c r="AI140" s="562" t="n"/>
      <c r="AJ140" s="69" t="n"/>
    </row>
    <row r="141" ht="15" customHeight="1" s="520">
      <c r="A141" s="113" t="n"/>
      <c r="E141" s="129" t="n"/>
      <c r="F141" s="487" t="n"/>
      <c r="G141" s="328" t="n"/>
      <c r="H141" s="140" t="n"/>
      <c r="I141" s="118" t="n"/>
      <c r="J141" s="271" t="n"/>
      <c r="K141" s="489" t="n"/>
      <c r="L141" s="115">
        <f>H141*Q141</f>
        <v/>
      </c>
      <c r="M141" s="115">
        <f>I141*Q141</f>
        <v/>
      </c>
      <c r="N141" s="227">
        <f>J141*Q141</f>
        <v/>
      </c>
      <c r="O141" s="172" t="n"/>
      <c r="P141" s="210" t="n">
        <v>0.05</v>
      </c>
      <c r="Q141" s="574" t="n">
        <v>0.24</v>
      </c>
      <c r="R141" s="574" t="n">
        <v>0.24</v>
      </c>
      <c r="S141" s="154" t="n">
        <v>46296</v>
      </c>
      <c r="T141" s="559" t="n"/>
      <c r="U141" s="100" t="n"/>
      <c r="V141" s="163" t="n">
        <v>46478</v>
      </c>
      <c r="W141" s="100" t="n"/>
      <c r="X141" s="564">
        <f>G141</f>
        <v/>
      </c>
      <c r="Y141" s="69" t="n"/>
      <c r="Z141" s="69" t="n"/>
      <c r="AA141" s="69" t="n"/>
      <c r="AB141" s="69" t="n"/>
      <c r="AC141" s="69" t="n"/>
      <c r="AD141" s="562" t="n"/>
      <c r="AE141" s="562" t="n"/>
      <c r="AG141" s="562" t="n"/>
      <c r="AH141" s="562" t="n"/>
      <c r="AI141" s="567">
        <f>G141</f>
        <v/>
      </c>
      <c r="AJ141" s="69" t="n"/>
    </row>
    <row r="142" ht="15" customHeight="1" s="520">
      <c r="A142" s="113" t="n"/>
      <c r="E142" s="200" t="n"/>
      <c r="F142" s="99" t="n"/>
      <c r="G142" s="328" t="n"/>
      <c r="H142" s="140" t="n"/>
      <c r="I142" s="271" t="n"/>
      <c r="J142" s="118" t="n"/>
      <c r="K142" s="115" t="n"/>
      <c r="L142" s="115">
        <f>H142*Q142</f>
        <v/>
      </c>
      <c r="M142" s="115">
        <f>I142*Q142</f>
        <v/>
      </c>
      <c r="N142" s="227">
        <f>J142*Q142</f>
        <v/>
      </c>
      <c r="O142" s="347" t="n"/>
      <c r="P142" s="277" t="n">
        <v>0.7</v>
      </c>
      <c r="Q142" s="557" t="n">
        <v>0.26</v>
      </c>
      <c r="R142" s="558" t="n"/>
      <c r="S142" s="162" t="n">
        <v>46388</v>
      </c>
      <c r="T142" s="100" t="n"/>
      <c r="U142" s="100" t="n"/>
      <c r="V142" s="163" t="n">
        <v>46753</v>
      </c>
      <c r="W142" s="100" t="n"/>
      <c r="X142" s="564">
        <f>G142</f>
        <v/>
      </c>
      <c r="Y142" s="182" t="n"/>
      <c r="Z142" s="182" t="n"/>
      <c r="AA142" s="182" t="n"/>
      <c r="AB142" s="182" t="n"/>
      <c r="AC142" s="182" t="n"/>
      <c r="AD142" s="598" t="n"/>
      <c r="AE142" s="598" t="n"/>
      <c r="AF142" s="598" t="n"/>
      <c r="AG142" s="598" t="n"/>
      <c r="AH142" s="598" t="n"/>
      <c r="AI142" s="598">
        <f>G142</f>
        <v/>
      </c>
      <c r="AJ142" s="69" t="n"/>
    </row>
    <row r="143" ht="15" customHeight="1" s="520">
      <c r="A143" s="113" t="n"/>
      <c r="E143" s="200" t="n"/>
      <c r="F143" s="99" t="n"/>
      <c r="G143" s="328" t="n"/>
      <c r="H143" s="140" t="n"/>
      <c r="I143" s="118" t="n"/>
      <c r="J143" s="271" t="n"/>
      <c r="K143" s="115" t="n"/>
      <c r="L143" s="115">
        <f>H143*Q143</f>
        <v/>
      </c>
      <c r="M143" s="115">
        <f>I143*Q143</f>
        <v/>
      </c>
      <c r="N143" s="227">
        <f>J143*Q143</f>
        <v/>
      </c>
      <c r="O143" s="490" t="n"/>
      <c r="P143" s="277" t="n">
        <v>0.3</v>
      </c>
      <c r="Q143" s="557" t="n">
        <v>0.26</v>
      </c>
      <c r="R143" s="558" t="n"/>
      <c r="S143" s="162" t="n">
        <v>46388</v>
      </c>
      <c r="T143" s="100" t="n"/>
      <c r="U143" s="100" t="n"/>
      <c r="V143" s="163" t="n"/>
      <c r="W143" s="100" t="n"/>
      <c r="X143" s="564">
        <f>G143</f>
        <v/>
      </c>
      <c r="Y143" s="182" t="n"/>
      <c r="Z143" s="182" t="n"/>
      <c r="AA143" s="182" t="n"/>
      <c r="AB143" s="182" t="n"/>
      <c r="AC143" s="182" t="n"/>
      <c r="AD143" s="598" t="n"/>
      <c r="AE143" s="598" t="n"/>
      <c r="AF143" s="567">
        <f>G143</f>
        <v/>
      </c>
      <c r="AG143" s="598" t="n"/>
      <c r="AH143" s="598" t="n"/>
      <c r="AI143" s="598" t="n"/>
      <c r="AJ143" s="69" t="n"/>
    </row>
    <row r="144" ht="15" customHeight="1" s="520">
      <c r="A144" s="113" t="n"/>
      <c r="E144" s="200" t="n"/>
      <c r="F144" s="99" t="n"/>
      <c r="G144" s="328" t="n"/>
      <c r="H144" s="140" t="n"/>
      <c r="I144" s="118" t="n"/>
      <c r="J144" s="271" t="n"/>
      <c r="K144" s="115" t="n"/>
      <c r="L144" s="115">
        <f>H144*Q144</f>
        <v/>
      </c>
      <c r="M144" s="115">
        <f>I144*Q144</f>
        <v/>
      </c>
      <c r="N144" s="227" t="n"/>
      <c r="O144" s="172" t="n"/>
      <c r="P144" s="277" t="n">
        <v>0.05</v>
      </c>
      <c r="Q144" s="566" t="n">
        <v>0.19</v>
      </c>
      <c r="R144" s="278" t="n"/>
      <c r="S144" s="162" t="n">
        <v>46082</v>
      </c>
      <c r="T144" s="559" t="n"/>
      <c r="U144" s="100" t="n"/>
      <c r="V144" s="163" t="n">
        <v>46539</v>
      </c>
      <c r="W144" s="100" t="n"/>
      <c r="X144" s="564">
        <f>G144</f>
        <v/>
      </c>
      <c r="Y144" s="69" t="n"/>
      <c r="Z144" s="69" t="n"/>
      <c r="AA144" s="69" t="n"/>
      <c r="AB144" s="69" t="n"/>
      <c r="AC144" s="69" t="n"/>
      <c r="AD144" s="562">
        <f>G144</f>
        <v/>
      </c>
      <c r="AE144" s="562" t="n"/>
      <c r="AF144" s="567" t="n"/>
      <c r="AG144" s="562" t="n"/>
      <c r="AH144" s="562" t="n"/>
      <c r="AI144" s="562" t="n"/>
      <c r="AJ144" s="69" t="n"/>
    </row>
    <row r="145" ht="15" customHeight="1" s="520">
      <c r="A145" s="113" t="n"/>
      <c r="E145" s="200" t="n"/>
      <c r="F145" s="99" t="n"/>
      <c r="G145" s="328" t="n"/>
      <c r="H145" s="140" t="n"/>
      <c r="I145" s="118" t="n"/>
      <c r="J145" s="271" t="n"/>
      <c r="K145" s="115" t="n"/>
      <c r="L145" s="115">
        <f>H145*Q145</f>
        <v/>
      </c>
      <c r="M145" s="115">
        <f>I145*Q145</f>
        <v/>
      </c>
      <c r="N145" s="227" t="n"/>
      <c r="O145" s="172" t="n"/>
      <c r="P145" s="277" t="n">
        <v>0.15</v>
      </c>
      <c r="Q145" s="566" t="n">
        <v>0.26</v>
      </c>
      <c r="R145" s="278" t="n"/>
      <c r="S145" s="162" t="n">
        <v>46023</v>
      </c>
      <c r="T145" s="559" t="n"/>
      <c r="U145" s="100" t="n"/>
      <c r="V145" s="163" t="n">
        <v>45838</v>
      </c>
      <c r="W145" s="100" t="n"/>
      <c r="X145" s="564">
        <f>G145</f>
        <v/>
      </c>
      <c r="Y145" s="69" t="n"/>
      <c r="Z145" s="69" t="n"/>
      <c r="AA145" s="69" t="n"/>
      <c r="AB145" s="69" t="n"/>
      <c r="AC145" s="69" t="n"/>
      <c r="AD145" s="562" t="n"/>
      <c r="AE145" s="562" t="n"/>
      <c r="AF145" s="567">
        <f>G145</f>
        <v/>
      </c>
      <c r="AG145" s="562" t="n"/>
      <c r="AH145" s="562" t="n"/>
      <c r="AI145" s="562" t="n"/>
      <c r="AJ145" s="69" t="n"/>
    </row>
    <row r="146" ht="15" customHeight="1" s="520">
      <c r="A146" s="113" t="n"/>
      <c r="E146" s="200" t="n"/>
      <c r="F146" s="99" t="n"/>
      <c r="G146" s="328" t="n"/>
      <c r="H146" s="140" t="n"/>
      <c r="I146" s="118" t="n"/>
      <c r="J146" s="271" t="n"/>
      <c r="K146" s="115" t="n"/>
      <c r="L146" s="115">
        <f>H146*Q146</f>
        <v/>
      </c>
      <c r="M146" s="115">
        <f>I146*Q146</f>
        <v/>
      </c>
      <c r="N146" s="227" t="n"/>
      <c r="O146" s="172" t="n"/>
      <c r="P146" s="277" t="n">
        <v>0.5</v>
      </c>
      <c r="Q146" s="566" t="n">
        <v>0.23</v>
      </c>
      <c r="R146" s="278" t="n"/>
      <c r="S146" s="162" t="n">
        <v>46054</v>
      </c>
      <c r="T146" s="559" t="n"/>
      <c r="U146" s="100" t="n"/>
      <c r="V146" s="163" t="n">
        <v>46295</v>
      </c>
      <c r="W146" s="100" t="n"/>
      <c r="X146" s="564">
        <f>G146</f>
        <v/>
      </c>
      <c r="Y146" s="69" t="n"/>
      <c r="Z146" s="69" t="n"/>
      <c r="AA146" s="69" t="n"/>
      <c r="AB146" s="69" t="n"/>
      <c r="AC146" s="69" t="n"/>
      <c r="AD146" s="562" t="n"/>
      <c r="AE146" s="562" t="n"/>
      <c r="AF146" s="567">
        <f>G146</f>
        <v/>
      </c>
      <c r="AG146" s="562" t="n"/>
      <c r="AH146" s="562" t="n"/>
      <c r="AI146" s="562" t="n"/>
      <c r="AJ146" s="69" t="n"/>
    </row>
    <row r="147" ht="15" customHeight="1" s="520">
      <c r="A147" s="113" t="n"/>
      <c r="E147" s="200" t="n"/>
      <c r="F147" s="99" t="n"/>
      <c r="G147" s="328" t="n"/>
      <c r="H147" s="140" t="n"/>
      <c r="I147" s="118" t="n"/>
      <c r="J147" s="271" t="n"/>
      <c r="K147" s="115" t="n"/>
      <c r="L147" s="115">
        <f>H147*Q147</f>
        <v/>
      </c>
      <c r="M147" s="115">
        <f>I147*Q147</f>
        <v/>
      </c>
      <c r="N147" s="227" t="n"/>
      <c r="O147" s="172" t="n"/>
      <c r="P147" s="277" t="n">
        <v>0.2</v>
      </c>
      <c r="Q147" s="566" t="n">
        <v>0.2</v>
      </c>
      <c r="R147" s="278" t="n"/>
      <c r="S147" s="162" t="n"/>
      <c r="T147" s="559" t="n"/>
      <c r="U147" s="100" t="n"/>
      <c r="V147" s="163" t="n"/>
      <c r="W147" s="100" t="n"/>
      <c r="X147" s="564">
        <f>G147</f>
        <v/>
      </c>
      <c r="Y147" s="69" t="n"/>
      <c r="Z147" s="69" t="n"/>
      <c r="AA147" s="69" t="n"/>
      <c r="AB147" s="69" t="n"/>
      <c r="AC147" s="69" t="n"/>
      <c r="AD147" s="562" t="n"/>
      <c r="AE147" s="562" t="n"/>
      <c r="AF147" s="567" t="n"/>
      <c r="AG147" s="562" t="n"/>
      <c r="AH147" s="562" t="n"/>
      <c r="AI147" s="562" t="n"/>
      <c r="AJ147" s="69" t="n"/>
    </row>
    <row r="148" ht="15" customHeight="1" s="520">
      <c r="A148" s="113" t="n"/>
      <c r="E148" s="200" t="n"/>
      <c r="F148" s="99" t="n"/>
      <c r="G148" s="328" t="n"/>
      <c r="H148" s="140" t="n"/>
      <c r="I148" s="118" t="n"/>
      <c r="J148" s="271" t="n"/>
      <c r="K148" s="115" t="n"/>
      <c r="L148" s="115">
        <f>H148*Q148</f>
        <v/>
      </c>
      <c r="M148" s="115">
        <f>I148*Q148</f>
        <v/>
      </c>
      <c r="N148" s="227" t="n"/>
      <c r="O148" s="172" t="n"/>
      <c r="P148" s="277" t="n">
        <v>0.15</v>
      </c>
      <c r="Q148" s="566" t="n">
        <v>0.21</v>
      </c>
      <c r="R148" s="278" t="n"/>
      <c r="S148" s="162" t="n">
        <v>46023</v>
      </c>
      <c r="T148" s="559" t="n"/>
      <c r="U148" s="100" t="n"/>
      <c r="V148" s="163" t="n">
        <v>46172</v>
      </c>
      <c r="W148" s="100" t="n"/>
      <c r="X148" s="564">
        <f>G148</f>
        <v/>
      </c>
      <c r="Y148" s="69" t="n"/>
      <c r="Z148" s="69" t="n"/>
      <c r="AA148" s="69" t="n"/>
      <c r="AB148" s="69" t="n"/>
      <c r="AC148" s="69" t="n"/>
      <c r="AD148" s="562" t="n"/>
      <c r="AE148" s="562" t="n"/>
      <c r="AF148" s="567" t="n"/>
      <c r="AG148" s="562" t="n"/>
      <c r="AH148" s="562" t="n"/>
      <c r="AI148" s="562" t="n"/>
      <c r="AJ148" s="69" t="n"/>
    </row>
    <row r="149" ht="15" customHeight="1" s="520">
      <c r="A149" s="113" t="n"/>
      <c r="E149" s="200" t="n"/>
      <c r="F149" s="99" t="n"/>
      <c r="G149" s="328" t="n"/>
      <c r="H149" s="140" t="n"/>
      <c r="I149" s="118" t="n"/>
      <c r="J149" s="271" t="n"/>
      <c r="K149" s="115" t="n"/>
      <c r="L149" s="115">
        <f>H149*Q149</f>
        <v/>
      </c>
      <c r="M149" s="115">
        <f>I149*Q149</f>
        <v/>
      </c>
      <c r="N149" s="227" t="n"/>
      <c r="O149" s="172" t="n"/>
      <c r="P149" s="277" t="n">
        <v>0.05</v>
      </c>
      <c r="Q149" s="566" t="n">
        <v>0.22</v>
      </c>
      <c r="R149" s="278" t="n"/>
      <c r="S149" s="162" t="n">
        <v>46023</v>
      </c>
      <c r="T149" s="559" t="n"/>
      <c r="U149" s="100" t="n"/>
      <c r="V149" s="163" t="n">
        <v>45838</v>
      </c>
      <c r="W149" s="100" t="n"/>
      <c r="X149" s="564">
        <f>G149</f>
        <v/>
      </c>
      <c r="Y149" s="69" t="n"/>
      <c r="Z149" s="69" t="n"/>
      <c r="AA149" s="69" t="n"/>
      <c r="AB149" s="69" t="n"/>
      <c r="AC149" s="69" t="n"/>
      <c r="AD149" s="562" t="n"/>
      <c r="AE149" s="562" t="n"/>
      <c r="AF149" s="567">
        <f>G149</f>
        <v/>
      </c>
      <c r="AG149" s="562" t="n"/>
      <c r="AH149" s="562" t="n"/>
      <c r="AI149" s="562" t="n"/>
      <c r="AJ149" s="69" t="n"/>
    </row>
    <row r="150" ht="15" customHeight="1" s="520">
      <c r="A150" s="113" t="n"/>
      <c r="E150" s="200" t="n"/>
      <c r="F150" s="99" t="n"/>
      <c r="G150" s="328" t="n"/>
      <c r="H150" s="140" t="n"/>
      <c r="I150" s="118" t="n"/>
      <c r="J150" s="271" t="n"/>
      <c r="K150" s="115" t="n"/>
      <c r="L150" s="115">
        <f>H150*Q150</f>
        <v/>
      </c>
      <c r="M150" s="115">
        <f>I150*Q150</f>
        <v/>
      </c>
      <c r="N150" s="227" t="n"/>
      <c r="O150" s="172" t="n"/>
      <c r="P150" s="277" t="n">
        <v>0.6</v>
      </c>
      <c r="Q150" s="566" t="n">
        <v>0.16</v>
      </c>
      <c r="R150" s="278" t="n"/>
      <c r="S150" s="162" t="n">
        <v>46054</v>
      </c>
      <c r="T150" s="559" t="n"/>
      <c r="U150" s="100" t="n"/>
      <c r="V150" s="163" t="n">
        <v>46204</v>
      </c>
      <c r="W150" s="100" t="n"/>
      <c r="X150" s="564">
        <f>G150</f>
        <v/>
      </c>
      <c r="Y150" s="69" t="n"/>
      <c r="Z150" s="69" t="n"/>
      <c r="AA150" s="69" t="n"/>
      <c r="AB150" s="69" t="n"/>
      <c r="AC150" s="69" t="n"/>
      <c r="AD150" s="562" t="n"/>
      <c r="AE150" s="562" t="n"/>
      <c r="AF150" s="567">
        <f>G150</f>
        <v/>
      </c>
      <c r="AG150" s="562" t="n"/>
      <c r="AH150" s="562" t="n"/>
      <c r="AI150" s="562" t="n"/>
      <c r="AJ150" s="69" t="n"/>
    </row>
    <row r="151" ht="15" customHeight="1" s="520">
      <c r="A151" s="113" t="n"/>
      <c r="E151" s="200" t="n"/>
      <c r="F151" s="99" t="n"/>
      <c r="G151" s="328" t="n"/>
      <c r="H151" s="140" t="n"/>
      <c r="I151" s="118" t="n"/>
      <c r="J151" s="271" t="n"/>
      <c r="K151" s="115" t="n"/>
      <c r="L151" s="115">
        <f>H151*Q151</f>
        <v/>
      </c>
      <c r="M151" s="115">
        <f>I151*Q151</f>
        <v/>
      </c>
      <c r="N151" s="227" t="n"/>
      <c r="O151" s="172" t="n"/>
      <c r="P151" s="277" t="n">
        <v>0.1</v>
      </c>
      <c r="Q151" s="566" t="n">
        <v>0.2</v>
      </c>
      <c r="R151" s="278" t="n"/>
      <c r="S151" s="162" t="n">
        <v>46082</v>
      </c>
      <c r="T151" s="559" t="n"/>
      <c r="U151" s="100" t="n"/>
      <c r="V151" s="163" t="n">
        <v>46357</v>
      </c>
      <c r="W151" s="100" t="n"/>
      <c r="X151" s="564">
        <f>G151</f>
        <v/>
      </c>
      <c r="Y151" s="69" t="n"/>
      <c r="Z151" s="69" t="n"/>
      <c r="AA151" s="69" t="n"/>
      <c r="AB151" s="69" t="n"/>
      <c r="AC151" s="69" t="n"/>
      <c r="AD151" s="562" t="n"/>
      <c r="AE151" s="562" t="n"/>
      <c r="AF151" s="567">
        <f>G151</f>
        <v/>
      </c>
      <c r="AG151" s="562" t="n"/>
      <c r="AH151" s="562" t="n"/>
      <c r="AI151" s="562" t="n"/>
      <c r="AJ151" s="69" t="n"/>
    </row>
    <row r="152" ht="15" customHeight="1" s="520">
      <c r="A152" s="113" t="n"/>
      <c r="E152" s="200" t="n"/>
      <c r="F152" s="99" t="n"/>
      <c r="G152" s="328" t="n"/>
      <c r="H152" s="140" t="n"/>
      <c r="I152" s="118" t="n"/>
      <c r="J152" s="271" t="n"/>
      <c r="K152" s="115" t="n"/>
      <c r="L152" s="115">
        <f>H152*Q152</f>
        <v/>
      </c>
      <c r="M152" s="115">
        <f>I152*Q152</f>
        <v/>
      </c>
      <c r="N152" s="227" t="n"/>
      <c r="O152" s="172" t="n"/>
      <c r="P152" s="277" t="n">
        <v>0.1</v>
      </c>
      <c r="Q152" s="566" t="n">
        <v>0.19</v>
      </c>
      <c r="R152" s="278" t="n"/>
      <c r="S152" s="162" t="n">
        <v>46082</v>
      </c>
      <c r="T152" s="559" t="n"/>
      <c r="U152" s="100" t="n"/>
      <c r="V152" s="163" t="n">
        <v>46357</v>
      </c>
      <c r="W152" s="100" t="n"/>
      <c r="X152" s="564">
        <f>G152</f>
        <v/>
      </c>
      <c r="Y152" s="69" t="n"/>
      <c r="Z152" s="69" t="n"/>
      <c r="AA152" s="69" t="n"/>
      <c r="AB152" s="69" t="n"/>
      <c r="AC152" s="69" t="n"/>
      <c r="AD152" s="562" t="n"/>
      <c r="AE152" s="562" t="n"/>
      <c r="AF152" s="567">
        <f>G152</f>
        <v/>
      </c>
      <c r="AG152" s="562" t="n"/>
      <c r="AH152" s="562" t="n"/>
      <c r="AI152" s="562" t="n"/>
      <c r="AJ152" s="69" t="n"/>
    </row>
    <row r="153" ht="15" customHeight="1" s="520">
      <c r="A153" s="113" t="n"/>
      <c r="E153" s="200" t="n"/>
      <c r="F153" s="99" t="n"/>
      <c r="G153" s="328" t="n"/>
      <c r="H153" s="140" t="n"/>
      <c r="I153" s="118" t="n"/>
      <c r="J153" s="271" t="n"/>
      <c r="K153" s="489" t="n"/>
      <c r="L153" s="115">
        <f>H153*Q153</f>
        <v/>
      </c>
      <c r="M153" s="115">
        <f>I153*Q153</f>
        <v/>
      </c>
      <c r="N153" s="227">
        <f>J153*Q153</f>
        <v/>
      </c>
      <c r="O153" s="490" t="n"/>
      <c r="P153" s="277" t="n">
        <v>0.15</v>
      </c>
      <c r="Q153" s="557" t="n">
        <v>0.2</v>
      </c>
      <c r="R153" s="558" t="n"/>
      <c r="S153" s="162" t="n">
        <v>46023</v>
      </c>
      <c r="T153" s="100" t="n"/>
      <c r="U153" s="100" t="n"/>
      <c r="V153" s="163" t="n">
        <v>46478</v>
      </c>
      <c r="W153" s="100" t="n"/>
      <c r="X153" s="564">
        <f>G153</f>
        <v/>
      </c>
      <c r="Y153" s="182" t="n"/>
      <c r="Z153" s="182" t="n"/>
      <c r="AA153" s="182" t="n"/>
      <c r="AB153" s="182" t="n"/>
      <c r="AC153" s="182" t="n"/>
      <c r="AD153" s="598" t="n"/>
      <c r="AE153" s="598" t="n"/>
      <c r="AF153" s="598" t="n"/>
      <c r="AG153" s="598" t="n"/>
      <c r="AH153" s="598" t="n"/>
      <c r="AI153" s="598" t="n"/>
      <c r="AJ153" s="69" t="n"/>
    </row>
    <row r="154" ht="14.25" customHeight="1" s="520">
      <c r="A154" s="113" t="n"/>
      <c r="E154" s="200" t="n"/>
      <c r="F154" s="99" t="n"/>
      <c r="G154" s="328" t="n"/>
      <c r="H154" s="140" t="n"/>
      <c r="I154" s="118" t="n"/>
      <c r="J154" s="271" t="n"/>
      <c r="K154" s="489" t="n"/>
      <c r="L154" s="115">
        <f>H154*Q154</f>
        <v/>
      </c>
      <c r="M154" s="115">
        <f>I154*Q154</f>
        <v/>
      </c>
      <c r="N154" s="227">
        <f>J154*Q154</f>
        <v/>
      </c>
      <c r="O154" s="490" t="n"/>
      <c r="P154" s="277" t="n">
        <v>0.15</v>
      </c>
      <c r="Q154" s="557" t="n">
        <v>0.19</v>
      </c>
      <c r="R154" s="558" t="n"/>
      <c r="S154" s="162" t="n">
        <v>46631</v>
      </c>
      <c r="T154" s="100" t="n"/>
      <c r="U154" s="100" t="n"/>
      <c r="V154" s="163" t="n">
        <v>46478</v>
      </c>
      <c r="W154" s="100" t="n"/>
      <c r="X154" s="564">
        <f>G154</f>
        <v/>
      </c>
      <c r="Y154" s="182" t="n"/>
      <c r="Z154" s="182" t="n"/>
      <c r="AA154" s="182" t="n"/>
      <c r="AB154" s="182" t="n"/>
      <c r="AC154" s="182" t="n"/>
      <c r="AD154" s="598" t="n"/>
      <c r="AE154" s="598" t="n"/>
      <c r="AF154" s="598" t="n"/>
      <c r="AG154" s="598" t="n"/>
      <c r="AH154" s="598" t="n"/>
      <c r="AI154" s="598" t="n"/>
      <c r="AJ154" s="69" t="n"/>
    </row>
    <row r="155" ht="15" customHeight="1" s="520">
      <c r="A155" s="113" t="n"/>
      <c r="E155" s="200" t="n"/>
      <c r="F155" s="99" t="n"/>
      <c r="G155" s="328" t="n"/>
      <c r="H155" s="140" t="n"/>
      <c r="I155" s="118" t="n"/>
      <c r="J155" s="271" t="n"/>
      <c r="K155" s="489" t="n"/>
      <c r="L155" s="115">
        <f>H155*Q155</f>
        <v/>
      </c>
      <c r="M155" s="115">
        <f>I155*Q155</f>
        <v/>
      </c>
      <c r="N155" s="227">
        <f>J155*Q155</f>
        <v/>
      </c>
      <c r="O155" s="490" t="n"/>
      <c r="P155" s="277" t="n">
        <v>0.15</v>
      </c>
      <c r="Q155" s="557" t="n">
        <v>0.2</v>
      </c>
      <c r="R155" s="558" t="n"/>
      <c r="S155" s="162" t="n">
        <v>46082</v>
      </c>
      <c r="T155" s="100" t="n"/>
      <c r="U155" s="100" t="n"/>
      <c r="V155" s="163" t="n">
        <v>46478</v>
      </c>
      <c r="W155" s="100" t="n"/>
      <c r="X155" s="564">
        <f>G155</f>
        <v/>
      </c>
      <c r="Y155" s="182" t="n"/>
      <c r="Z155" s="182" t="n"/>
      <c r="AA155" s="182" t="n"/>
      <c r="AB155" s="182" t="n"/>
      <c r="AC155" s="182" t="n"/>
      <c r="AD155" s="598" t="n"/>
      <c r="AE155" s="598" t="n"/>
      <c r="AF155" s="598" t="n"/>
      <c r="AG155" s="598" t="n"/>
      <c r="AH155" s="598" t="n"/>
      <c r="AI155" s="598" t="n"/>
      <c r="AJ155" s="69" t="n"/>
    </row>
    <row r="156" ht="15" customHeight="1" s="520">
      <c r="A156" s="113" t="n"/>
      <c r="E156" s="200" t="n"/>
      <c r="F156" s="99" t="n"/>
      <c r="G156" s="257" t="n"/>
      <c r="H156" s="257" t="n"/>
      <c r="I156" s="266" t="n"/>
      <c r="J156" s="118" t="n"/>
      <c r="K156" s="489" t="n"/>
      <c r="L156" s="115" t="n"/>
      <c r="M156" s="115" t="n"/>
      <c r="N156" s="227" t="n"/>
      <c r="O156" s="490" t="n"/>
      <c r="P156" s="182" t="n"/>
      <c r="Q156" s="557" t="n"/>
      <c r="R156" s="558" t="n"/>
      <c r="S156" s="162" t="n"/>
      <c r="T156" s="100" t="n"/>
      <c r="U156" s="100" t="n"/>
      <c r="V156" s="163" t="n"/>
      <c r="W156" s="100" t="n"/>
      <c r="X156" s="564" t="n"/>
      <c r="Y156" s="182" t="n"/>
      <c r="Z156" s="182" t="n"/>
      <c r="AA156" s="182" t="n"/>
      <c r="AB156" s="182" t="n"/>
      <c r="AC156" s="182" t="n"/>
      <c r="AD156" s="564" t="n"/>
      <c r="AE156" s="564" t="n"/>
      <c r="AF156" s="564" t="n"/>
      <c r="AG156" s="564" t="n"/>
      <c r="AH156" s="564" t="n"/>
      <c r="AI156" s="564" t="n"/>
      <c r="AJ156" s="69" t="n"/>
    </row>
    <row r="157" ht="15" customHeight="1" s="520" thickBot="1">
      <c r="A157" s="114" t="inlineStr">
        <is>
          <t>Prospect total</t>
        </is>
      </c>
      <c r="B157" s="112" t="n"/>
      <c r="C157" s="107" t="n"/>
      <c r="D157" s="107" t="n"/>
      <c r="E157" s="250" t="n"/>
      <c r="F157" s="248">
        <f>SUM(F136:F156)</f>
        <v/>
      </c>
      <c r="G157" s="249">
        <f>SUM(G136:G156)</f>
        <v/>
      </c>
      <c r="H157" s="127">
        <f>SUM(H136:H156)</f>
        <v/>
      </c>
      <c r="I157" s="128">
        <f>SUM(I136:I156)</f>
        <v/>
      </c>
      <c r="J157" s="128">
        <f>SUM(J136:J156)</f>
        <v/>
      </c>
      <c r="K157" s="233" t="n"/>
      <c r="L157" s="128">
        <f>SUM(L136:L156)</f>
        <v/>
      </c>
      <c r="M157" s="128">
        <f>SUM(M136:M156)</f>
        <v/>
      </c>
      <c r="N157" s="227">
        <f>SUM(L136:L155)</f>
        <v/>
      </c>
      <c r="O157" s="174" t="n"/>
      <c r="P157" s="144" t="n"/>
      <c r="Q157" s="163" t="n"/>
      <c r="R157" s="100" t="n"/>
      <c r="S157" s="162" t="n"/>
      <c r="T157" s="100" t="n"/>
      <c r="U157" s="100" t="n"/>
      <c r="V157" s="163" t="n"/>
      <c r="W157" s="100" t="n"/>
      <c r="X157" s="69" t="n"/>
      <c r="Y157" s="69" t="n"/>
      <c r="Z157" s="69" t="n"/>
      <c r="AA157" s="69" t="n"/>
      <c r="AB157" s="69" t="n"/>
      <c r="AC157" s="69" t="n"/>
      <c r="AD157" s="80">
        <f>SUM(AD136:AD156)</f>
        <v/>
      </c>
      <c r="AE157" s="80">
        <f>SUM(AE136:AE156)</f>
        <v/>
      </c>
      <c r="AF157" s="80">
        <f>SUM(AF136:AF156)</f>
        <v/>
      </c>
      <c r="AG157" s="80">
        <f>SUM(AG136:AG156)</f>
        <v/>
      </c>
      <c r="AH157" s="80">
        <f>SUM(AH136:AH156)</f>
        <v/>
      </c>
      <c r="AI157" s="80">
        <f>SUM(AI136:AI156)</f>
        <v/>
      </c>
      <c r="AJ157" s="69" t="n"/>
      <c r="AK157" s="5">
        <f>SUM(AD157:AI157)</f>
        <v/>
      </c>
    </row>
    <row r="158" ht="15" customHeight="1" s="520" thickBot="1">
      <c r="A158" s="2" t="n"/>
      <c r="E158" s="211">
        <f>+G157+G132</f>
        <v/>
      </c>
      <c r="G158" s="210">
        <f>+SUM(H158:J158)/E158</f>
        <v/>
      </c>
      <c r="H158" s="564">
        <f>+H157+H130+H65</f>
        <v/>
      </c>
      <c r="I158" s="564">
        <f>+I157+I130+I65</f>
        <v/>
      </c>
      <c r="J158" s="564">
        <f>+J157+J130+J65</f>
        <v/>
      </c>
      <c r="K158" s="9" t="n"/>
      <c r="L158" s="564" t="n"/>
      <c r="M158" s="9" t="n"/>
      <c r="N158" s="586">
        <f>IFERROR(+N157/H157,0)</f>
        <v/>
      </c>
      <c r="O158" s="513" t="n"/>
      <c r="P158" s="176" t="n"/>
      <c r="Q158" s="163" t="n"/>
      <c r="R158" s="100" t="n"/>
      <c r="S158" s="162" t="n"/>
      <c r="T158" s="100" t="n"/>
      <c r="U158" s="100" t="n"/>
      <c r="V158" s="163" t="n"/>
      <c r="W158" s="100" t="n"/>
      <c r="X158" s="69" t="n"/>
      <c r="Y158" s="69" t="n"/>
      <c r="Z158" s="69" t="n"/>
      <c r="AA158" s="69" t="n"/>
      <c r="AB158" s="69" t="n"/>
      <c r="AC158" s="69" t="n"/>
      <c r="AD158" s="85">
        <f>AD157/$AK$157</f>
        <v/>
      </c>
      <c r="AE158" s="86">
        <f>AE157/$AK$157</f>
        <v/>
      </c>
      <c r="AF158" s="86">
        <f>AF157/$AK$157</f>
        <v/>
      </c>
      <c r="AG158" s="86">
        <f>AG157/$AK$157</f>
        <v/>
      </c>
      <c r="AH158" s="86">
        <f>AH157/$AK$157</f>
        <v/>
      </c>
      <c r="AI158" s="87">
        <f>AI157/$AK$157</f>
        <v/>
      </c>
      <c r="AJ158" s="69" t="n"/>
    </row>
    <row r="159" ht="29.25" customFormat="1" customHeight="1" s="508" thickBot="1">
      <c r="A159" s="511" t="inlineStr">
        <is>
          <t>CHIFFRE D'AFFAIRE DU BUREAU D'ETUDE</t>
        </is>
      </c>
      <c r="B159" s="505" t="n"/>
      <c r="C159" s="505" t="n"/>
      <c r="D159" s="505" t="n"/>
      <c r="E159" s="505" t="n"/>
      <c r="F159" s="505" t="n"/>
      <c r="G159" s="505" t="n"/>
      <c r="H159" s="505" t="n"/>
      <c r="I159" s="505" t="n"/>
      <c r="J159" s="240" t="n"/>
      <c r="K159" s="234" t="n"/>
      <c r="L159" s="599" t="n"/>
      <c r="M159" s="234" t="n"/>
      <c r="N159" s="564">
        <f>+N157+N130+N65</f>
        <v/>
      </c>
      <c r="O159" s="187" t="n"/>
      <c r="P159" s="188" t="n"/>
      <c r="Q159" s="179" t="n"/>
      <c r="R159" s="93" t="n"/>
      <c r="S159" s="164" t="n"/>
      <c r="T159" s="106" t="n"/>
      <c r="U159" s="106" t="n"/>
      <c r="V159" s="165" t="n"/>
      <c r="W159" s="93" t="n"/>
      <c r="AD159" s="211">
        <f>+AD157+AD130+AD65</f>
        <v/>
      </c>
      <c r="AE159" s="211">
        <f>+AE157+AE130+AE65</f>
        <v/>
      </c>
      <c r="AF159" s="211">
        <f>+AF157+AF130+AF65</f>
        <v/>
      </c>
      <c r="AG159" s="211">
        <f>+AG157+AG130+AG65</f>
        <v/>
      </c>
      <c r="AH159" s="211">
        <f>+AH157+AH130+AH65</f>
        <v/>
      </c>
      <c r="AI159" s="211">
        <f>+AI157+AI130+AI65</f>
        <v/>
      </c>
      <c r="AK159" s="5">
        <f>SUM(AD159:AI159)</f>
        <v/>
      </c>
    </row>
    <row r="160" ht="15" customFormat="1" customHeight="1" s="508" thickBot="1">
      <c r="A160" s="509" t="n"/>
      <c r="B160" s="510" t="n"/>
      <c r="C160" s="510" t="n"/>
      <c r="D160" s="510" t="n"/>
      <c r="E160" s="510" t="n"/>
      <c r="F160" s="510" t="n"/>
      <c r="G160" s="510" t="n"/>
      <c r="H160" s="510" t="n"/>
      <c r="I160" s="510" t="n"/>
      <c r="J160" s="241" t="n"/>
      <c r="K160" s="234" t="n"/>
      <c r="L160" s="234" t="n"/>
      <c r="M160" s="234" t="n"/>
      <c r="N160" s="586">
        <f>IFERROR(+N159/H158,0)</f>
        <v/>
      </c>
      <c r="O160" s="189" t="n"/>
      <c r="P160" s="190" t="n"/>
      <c r="Q160" s="179" t="n"/>
      <c r="R160" s="93" t="n"/>
      <c r="S160" s="164" t="n"/>
      <c r="T160" s="106" t="n"/>
      <c r="U160" s="106" t="n"/>
      <c r="V160" s="165" t="n"/>
      <c r="W160" s="93" t="n"/>
      <c r="X160" s="504" t="inlineStr">
        <is>
          <t>REPARTITION PAR TYPE D'ADUDICATION</t>
        </is>
      </c>
      <c r="Y160" s="505" t="n"/>
      <c r="Z160" s="505" t="n"/>
      <c r="AA160" s="506" t="n"/>
      <c r="AB160" s="75" t="n"/>
      <c r="AC160" s="75" t="n"/>
      <c r="AD160" s="504" t="inlineStr">
        <is>
          <t>REPARTITION PAR CATEGORIE D'OUVRAGE</t>
        </is>
      </c>
      <c r="AE160" s="505" t="n"/>
      <c r="AF160" s="505" t="n"/>
      <c r="AG160" s="505" t="n"/>
      <c r="AH160" s="505" t="n"/>
      <c r="AI160" s="506" t="n"/>
    </row>
    <row r="161" ht="15" customHeight="1" s="520">
      <c r="A161" s="2" t="n"/>
      <c r="E161" s="129" t="n"/>
      <c r="G161" s="5" t="n"/>
      <c r="H161" s="21" t="n"/>
      <c r="I161" s="14" t="n"/>
      <c r="J161" s="14" t="n"/>
      <c r="K161" s="5" t="n"/>
      <c r="L161" s="5" t="n"/>
      <c r="M161" s="5" t="n"/>
      <c r="O161" s="180" t="n"/>
      <c r="Q161" s="173" t="n"/>
      <c r="R161" s="92" t="n"/>
      <c r="S161" s="162" t="n"/>
      <c r="T161" s="100" t="n"/>
      <c r="U161" s="100" t="n"/>
      <c r="V161" s="163" t="n"/>
      <c r="W161" s="92" t="n"/>
      <c r="X161" s="2" t="n"/>
      <c r="AA161" s="52" t="n"/>
      <c r="AD161" s="212">
        <f>+AD159/$AK$159</f>
        <v/>
      </c>
      <c r="AE161" s="210">
        <f>+AE159/$AK$159</f>
        <v/>
      </c>
      <c r="AF161" s="210">
        <f>+AF159/$AK$159</f>
        <v/>
      </c>
      <c r="AG161" s="210">
        <f>+AG159/$AK$159</f>
        <v/>
      </c>
      <c r="AH161" s="210">
        <f>+AH159/$AK$159</f>
        <v/>
      </c>
      <c r="AI161" s="213">
        <f>+AI159/$AK$159</f>
        <v/>
      </c>
    </row>
    <row r="162" ht="15" customFormat="1" customHeight="1" s="508">
      <c r="A162" s="44" t="inlineStr">
        <is>
          <t>Nom du chantier</t>
        </is>
      </c>
      <c r="B162" s="45" t="inlineStr">
        <is>
          <t>Maçonnerie</t>
        </is>
      </c>
      <c r="C162" s="45" t="inlineStr">
        <is>
          <t>Jardinage</t>
        </is>
      </c>
      <c r="D162" s="45" t="inlineStr">
        <is>
          <t>Entretien</t>
        </is>
      </c>
      <c r="E162" s="44" t="n"/>
      <c r="F162" s="267" t="n"/>
      <c r="G162" s="46" t="inlineStr">
        <is>
          <t xml:space="preserve">Total restant </t>
        </is>
      </c>
      <c r="H162" s="46" t="inlineStr">
        <is>
          <t>Planning 2025</t>
        </is>
      </c>
      <c r="I162" s="48" t="inlineStr">
        <is>
          <t>Planning 2026</t>
        </is>
      </c>
      <c r="J162" s="48" t="inlineStr">
        <is>
          <t>Planning 2026</t>
        </is>
      </c>
      <c r="K162" s="101" t="n"/>
      <c r="L162" s="101" t="n"/>
      <c r="M162" s="101" t="n"/>
      <c r="N162" s="239" t="inlineStr">
        <is>
          <t>Facturation 2024</t>
        </is>
      </c>
      <c r="O162" s="169" t="n"/>
      <c r="P162" s="170" t="n"/>
      <c r="Q162" s="171" t="n"/>
      <c r="R162" s="98" t="n"/>
      <c r="S162" s="152" t="n"/>
      <c r="T162" s="147" t="n"/>
      <c r="U162" s="147" t="n"/>
      <c r="V162" s="153" t="n"/>
      <c r="W162" s="98" t="n"/>
      <c r="X162" s="59" t="inlineStr">
        <is>
          <t>SOUMISSION</t>
        </is>
      </c>
      <c r="Y162" s="70" t="inlineStr">
        <is>
          <t>DEVIS Gré à gré</t>
        </is>
      </c>
      <c r="Z162" s="70" t="inlineStr">
        <is>
          <t xml:space="preserve">DEVIS Mis en conccurence </t>
        </is>
      </c>
      <c r="AA162" s="71" t="inlineStr">
        <is>
          <t>DEVIS Concours d'étude</t>
        </is>
      </c>
      <c r="AB162" s="53" t="n"/>
      <c r="AC162" s="53" t="n"/>
      <c r="AD162" s="60" t="inlineStr">
        <is>
          <t>JARDIN PRIVE</t>
        </is>
      </c>
      <c r="AE162" s="61" t="inlineStr">
        <is>
          <t>LOGEMENTS COLLECTIFS</t>
        </is>
      </c>
      <c r="AF162" s="61" t="inlineStr">
        <is>
          <t>ESPACE PUBLIC</t>
        </is>
      </c>
      <c r="AG162" s="67" t="inlineStr">
        <is>
          <t>BUREAUX/ ENTREPRISES</t>
        </is>
      </c>
      <c r="AH162" s="67" t="inlineStr">
        <is>
          <t>ORG. INTERNATIONAUX</t>
        </is>
      </c>
      <c r="AI162" s="62" t="inlineStr">
        <is>
          <t>AUTRES</t>
        </is>
      </c>
    </row>
    <row r="163" ht="15" customHeight="1" s="520">
      <c r="A163" s="11" t="n"/>
      <c r="B163" s="15" t="n"/>
      <c r="C163" s="15" t="n"/>
      <c r="D163" s="15" t="n"/>
      <c r="E163" s="129" t="n"/>
      <c r="F163" s="15" t="n"/>
      <c r="G163" s="268" t="n"/>
      <c r="H163" s="261" t="n"/>
      <c r="I163" s="261" t="n"/>
      <c r="J163" s="50" t="n"/>
      <c r="K163" s="5" t="n"/>
      <c r="L163" s="5" t="n"/>
      <c r="M163" s="5" t="n"/>
      <c r="O163" s="180" t="n"/>
      <c r="Q163" s="173" t="n"/>
      <c r="R163" s="92" t="n"/>
      <c r="S163" s="162" t="n"/>
      <c r="T163" s="100" t="n"/>
      <c r="U163" s="100" t="n"/>
      <c r="V163" s="163" t="n"/>
      <c r="W163" s="92" t="n"/>
      <c r="X163" s="26" t="n"/>
      <c r="Z163" s="18" t="n"/>
      <c r="AA163" s="27" t="n"/>
      <c r="AE163" s="18" t="n"/>
      <c r="AF163" s="18" t="n"/>
      <c r="AG163" s="68" t="n"/>
      <c r="AH163" s="68" t="n"/>
      <c r="AI163" s="27" t="n"/>
    </row>
    <row r="164" ht="15" customHeight="1" s="520">
      <c r="A164" s="8" t="inlineStr">
        <is>
          <t xml:space="preserve">Route Blanche </t>
        </is>
      </c>
      <c r="B164" s="15" t="n"/>
      <c r="C164" s="15" t="n"/>
      <c r="D164" s="15" t="n"/>
      <c r="E164" s="129" t="inlineStr">
        <is>
          <t>TTTTTTT</t>
        </is>
      </c>
      <c r="F164" s="15" t="n"/>
      <c r="G164" s="140" t="n">
        <v>14500</v>
      </c>
      <c r="H164" s="13" t="n"/>
      <c r="I164" s="140" t="n">
        <v>14500</v>
      </c>
      <c r="J164" s="14" t="n"/>
      <c r="K164" s="5" t="n"/>
      <c r="L164" s="5" t="inlineStr">
        <is>
          <t xml:space="preserve">A facturer </t>
        </is>
      </c>
      <c r="M164" s="5" t="n"/>
      <c r="O164" s="180" t="n"/>
      <c r="Q164" s="173" t="n"/>
      <c r="R164" s="92" t="n"/>
      <c r="S164" s="162" t="n"/>
      <c r="T164" s="100" t="n"/>
      <c r="U164" s="100" t="n"/>
      <c r="V164" s="163" t="n"/>
      <c r="W164" s="92" t="n"/>
      <c r="X164" s="24" t="n"/>
      <c r="Y164" s="115">
        <f>G164</f>
        <v/>
      </c>
      <c r="Z164" s="16" t="n"/>
      <c r="AA164" s="17" t="n"/>
      <c r="AE164" s="16" t="n"/>
      <c r="AF164" s="16" t="n"/>
      <c r="AG164" s="117">
        <f>G164</f>
        <v/>
      </c>
      <c r="AH164" s="22" t="n"/>
      <c r="AI164" s="17" t="n"/>
    </row>
    <row r="165" ht="15" customHeight="1" s="520">
      <c r="A165" s="514" t="inlineStr">
        <is>
          <t xml:space="preserve">Drize  </t>
        </is>
      </c>
      <c r="B165" s="15" t="n"/>
      <c r="C165" s="15" t="n"/>
      <c r="D165" s="15" t="n"/>
      <c r="E165" s="129" t="inlineStr">
        <is>
          <t>MMMMMM</t>
        </is>
      </c>
      <c r="F165" s="15" t="n"/>
      <c r="G165" s="140" t="n">
        <v>5245</v>
      </c>
      <c r="H165" s="140">
        <f>G165</f>
        <v/>
      </c>
      <c r="I165" s="13" t="n"/>
      <c r="J165" s="14" t="n"/>
      <c r="K165" s="5" t="n"/>
      <c r="L165" s="5" t="inlineStr">
        <is>
          <t xml:space="preserve">A facturer </t>
        </is>
      </c>
      <c r="M165" s="5" t="n"/>
      <c r="N165" s="299" t="n">
        <v>0</v>
      </c>
      <c r="O165" s="180" t="n"/>
      <c r="Q165" s="173" t="n"/>
      <c r="R165" s="92" t="n"/>
      <c r="S165" s="162" t="n"/>
      <c r="T165" s="100" t="n"/>
      <c r="U165" s="100" t="n"/>
      <c r="V165" s="163" t="n"/>
      <c r="W165" s="92" t="n"/>
      <c r="X165" s="24" t="n"/>
      <c r="Y165" s="115">
        <f>G165</f>
        <v/>
      </c>
      <c r="Z165" s="16" t="n"/>
      <c r="AA165" s="17" t="n"/>
      <c r="AE165" s="140">
        <f>G165</f>
        <v/>
      </c>
      <c r="AF165" s="16" t="n"/>
      <c r="AG165" s="22" t="n"/>
      <c r="AH165" s="22" t="n"/>
      <c r="AI165" s="17" t="n"/>
    </row>
    <row r="166" ht="15" customHeight="1" s="520">
      <c r="A166" s="514" t="inlineStr">
        <is>
          <t xml:space="preserve">Bernex </t>
        </is>
      </c>
      <c r="B166" s="15" t="n"/>
      <c r="C166" s="15" t="n"/>
      <c r="D166" s="15" t="n"/>
      <c r="E166" s="129" t="inlineStr">
        <is>
          <t>KKKKKK</t>
        </is>
      </c>
      <c r="F166" s="15" t="n"/>
      <c r="G166" s="140" t="n">
        <v>2795</v>
      </c>
      <c r="H166" s="13">
        <f>G166</f>
        <v/>
      </c>
      <c r="I166" s="13" t="n"/>
      <c r="J166" s="14" t="n"/>
      <c r="K166" s="5" t="n"/>
      <c r="L166" s="5" t="n"/>
      <c r="M166" s="5" t="n"/>
      <c r="N166" s="299" t="n">
        <v>0</v>
      </c>
      <c r="O166" s="180" t="n"/>
      <c r="Q166" s="173" t="n"/>
      <c r="R166" s="92" t="n"/>
      <c r="S166" s="162" t="n"/>
      <c r="T166" s="100" t="n"/>
      <c r="U166" s="100" t="n"/>
      <c r="V166" s="163" t="n"/>
      <c r="W166" s="92" t="n"/>
      <c r="X166" s="24" t="n"/>
      <c r="Y166" s="115">
        <f>G166</f>
        <v/>
      </c>
      <c r="Z166" s="16" t="n"/>
      <c r="AA166" s="17" t="n"/>
      <c r="AD166" s="140">
        <f>G166</f>
        <v/>
      </c>
      <c r="AE166" s="140" t="n"/>
      <c r="AF166" s="16" t="n"/>
      <c r="AG166" s="22" t="n"/>
      <c r="AH166" s="22" t="n"/>
      <c r="AI166" s="17" t="n"/>
    </row>
    <row r="167" ht="15" customHeight="1" s="520">
      <c r="A167" s="514" t="inlineStr">
        <is>
          <t xml:space="preserve">Bel Air </t>
        </is>
      </c>
      <c r="B167" s="15" t="n"/>
      <c r="C167" s="15" t="n"/>
      <c r="D167" s="15" t="n"/>
      <c r="E167" s="129" t="n"/>
      <c r="F167" s="15" t="n"/>
      <c r="G167" s="140" t="n">
        <v>1942</v>
      </c>
      <c r="H167" s="13" t="n"/>
      <c r="I167" s="13">
        <f>G167</f>
        <v/>
      </c>
      <c r="J167" s="14" t="n"/>
      <c r="K167" s="5" t="n"/>
      <c r="L167" s="5" t="n"/>
      <c r="M167" s="5" t="n"/>
      <c r="N167" s="299" t="n">
        <v>0</v>
      </c>
      <c r="O167" s="180" t="n"/>
      <c r="Q167" s="173" t="n"/>
      <c r="R167" s="92" t="n"/>
      <c r="S167" s="162" t="n"/>
      <c r="T167" s="100" t="n"/>
      <c r="U167" s="100" t="n"/>
      <c r="V167" s="163" t="n"/>
      <c r="W167" s="92" t="n"/>
      <c r="X167" s="24" t="n"/>
      <c r="Y167" s="115">
        <f>G167</f>
        <v/>
      </c>
      <c r="Z167" s="16" t="n"/>
      <c r="AA167" s="17" t="n"/>
      <c r="AE167" s="140">
        <f>G167</f>
        <v/>
      </c>
      <c r="AF167" s="16" t="n"/>
      <c r="AG167" s="22" t="n"/>
      <c r="AH167" s="22" t="n"/>
      <c r="AI167" s="17" t="n"/>
    </row>
    <row r="168" ht="15" customFormat="1" customHeight="1" s="473">
      <c r="A168" s="455" t="n"/>
      <c r="B168" s="456" t="n"/>
      <c r="C168" s="456" t="n"/>
      <c r="D168" s="456" t="n"/>
      <c r="E168" s="457" t="n"/>
      <c r="F168" s="456" t="n"/>
      <c r="G168" s="458" t="n"/>
      <c r="H168" s="459" t="n"/>
      <c r="I168" s="459" t="n"/>
      <c r="J168" s="460" t="n"/>
      <c r="K168" s="461" t="n"/>
      <c r="L168" s="5" t="inlineStr">
        <is>
          <t xml:space="preserve">A facturer </t>
        </is>
      </c>
      <c r="M168" s="461" t="n"/>
      <c r="N168" s="462" t="n">
        <v>0</v>
      </c>
      <c r="O168" s="463" t="n">
        <v>45630</v>
      </c>
      <c r="P168" s="464" t="n"/>
      <c r="Q168" s="465" t="n"/>
      <c r="R168" s="466" t="n"/>
      <c r="S168" s="463" t="n"/>
      <c r="T168" s="467" t="n"/>
      <c r="U168" s="467" t="n"/>
      <c r="V168" s="468" t="n"/>
      <c r="W168" s="466" t="n"/>
      <c r="X168" s="469" t="n"/>
      <c r="Y168" s="470">
        <f>G168</f>
        <v/>
      </c>
      <c r="Z168" s="471" t="n"/>
      <c r="AA168" s="472" t="n"/>
      <c r="AE168" s="458">
        <f>G168</f>
        <v/>
      </c>
      <c r="AF168" s="471" t="n"/>
      <c r="AG168" s="474" t="n"/>
      <c r="AH168" s="474" t="n"/>
      <c r="AI168" s="472" t="n"/>
    </row>
    <row r="169" ht="15" customHeight="1" s="520">
      <c r="A169" s="11" t="n"/>
      <c r="B169" s="15" t="n"/>
      <c r="C169" s="15" t="n"/>
      <c r="D169" s="15" t="n"/>
      <c r="E169" s="129" t="n"/>
      <c r="F169" s="15" t="n"/>
      <c r="G169" s="140" t="n"/>
      <c r="H169" s="13" t="n"/>
      <c r="I169" s="13" t="n"/>
      <c r="J169" s="14" t="n"/>
      <c r="K169" s="5" t="n"/>
      <c r="L169" s="5" t="inlineStr">
        <is>
          <t>Facturé 01/2025</t>
        </is>
      </c>
      <c r="M169" s="5" t="n"/>
      <c r="N169" s="498" t="n">
        <v>1560</v>
      </c>
      <c r="O169" s="162" t="n">
        <v>45621</v>
      </c>
      <c r="Q169" s="173" t="n"/>
      <c r="R169" s="92" t="n"/>
      <c r="S169" s="162" t="n"/>
      <c r="T169" s="100" t="n"/>
      <c r="U169" s="100" t="n"/>
      <c r="V169" s="163" t="n"/>
      <c r="W169" s="92" t="n"/>
      <c r="X169" s="24" t="n"/>
      <c r="Y169" s="255">
        <f>G169</f>
        <v/>
      </c>
      <c r="Z169" s="16" t="n"/>
      <c r="AA169" s="17" t="n"/>
      <c r="AD169" s="475">
        <f>G169</f>
        <v/>
      </c>
      <c r="AE169" s="16" t="n"/>
      <c r="AF169" s="16" t="n"/>
      <c r="AG169" s="22" t="n"/>
      <c r="AH169" s="22" t="n"/>
      <c r="AI169" s="17" t="n"/>
    </row>
    <row r="170" ht="15" customHeight="1" s="520">
      <c r="A170" s="11" t="n"/>
      <c r="B170" s="3" t="n"/>
      <c r="C170" s="3" t="n"/>
      <c r="D170" s="3" t="n"/>
      <c r="E170" s="129" t="n"/>
      <c r="F170" s="3" t="n"/>
      <c r="G170" s="140" t="n"/>
      <c r="H170" s="140" t="n"/>
      <c r="I170" s="140" t="n"/>
      <c r="J170" s="14" t="n"/>
      <c r="K170" s="5" t="n"/>
      <c r="L170" s="5" t="inlineStr">
        <is>
          <t>2 factures émises 2024/2025</t>
        </is>
      </c>
      <c r="M170" s="5" t="n"/>
      <c r="N170" s="498">
        <f>5000+20980</f>
        <v/>
      </c>
      <c r="O170" s="162" t="n">
        <v>45577</v>
      </c>
      <c r="Q170" s="173" t="n"/>
      <c r="R170" s="92" t="n"/>
      <c r="S170" s="162" t="n"/>
      <c r="T170" s="100" t="n"/>
      <c r="U170" s="100" t="n"/>
      <c r="V170" s="163" t="n"/>
      <c r="W170" s="92" t="n"/>
      <c r="X170" s="24" t="n"/>
      <c r="Y170" s="13">
        <f>G170</f>
        <v/>
      </c>
      <c r="Z170" s="13" t="n"/>
      <c r="AA170" s="17" t="n"/>
      <c r="AD170" s="23" t="n"/>
      <c r="AE170" s="13">
        <f>G170</f>
        <v/>
      </c>
      <c r="AF170" s="13" t="n"/>
      <c r="AG170" s="13" t="n"/>
      <c r="AH170" s="13" t="n"/>
      <c r="AI170" s="17" t="n"/>
    </row>
    <row r="171" ht="15" customHeight="1" s="520">
      <c r="A171" s="11" t="n"/>
      <c r="B171" s="3" t="n"/>
      <c r="C171" s="3" t="n"/>
      <c r="D171" s="3" t="n"/>
      <c r="E171" s="129" t="n"/>
      <c r="F171" s="10" t="n"/>
      <c r="G171" s="140" t="n"/>
      <c r="H171" s="140" t="n"/>
      <c r="I171" s="140" t="n"/>
      <c r="J171" s="14" t="n"/>
      <c r="K171" s="5" t="n"/>
      <c r="L171" s="5" t="inlineStr">
        <is>
          <t>Factures en 02/2025</t>
        </is>
      </c>
      <c r="M171" s="5" t="n"/>
      <c r="N171" s="299" t="n">
        <v>4961</v>
      </c>
      <c r="O171" s="162" t="n">
        <v>45572</v>
      </c>
      <c r="Q171" s="173" t="n"/>
      <c r="R171" s="92" t="n"/>
      <c r="S171" s="162" t="n"/>
      <c r="T171" s="100" t="n"/>
      <c r="U171" s="100" t="n"/>
      <c r="V171" s="163" t="n"/>
      <c r="W171" s="92" t="n"/>
      <c r="X171" s="24" t="n"/>
      <c r="Y171" s="23">
        <f>G171</f>
        <v/>
      </c>
      <c r="Z171" s="13" t="n"/>
      <c r="AA171" s="17" t="n"/>
      <c r="AE171" s="13">
        <f>G171</f>
        <v/>
      </c>
      <c r="AG171" s="13" t="n"/>
      <c r="AH171" s="13" t="n"/>
      <c r="AI171" s="14" t="n"/>
    </row>
    <row r="172" ht="15" customHeight="1" s="520">
      <c r="A172" s="11" t="n"/>
      <c r="B172" s="3" t="n"/>
      <c r="C172" s="3" t="n"/>
      <c r="D172" s="3" t="n"/>
      <c r="E172" s="129" t="n"/>
      <c r="F172" s="10" t="n"/>
      <c r="G172" s="140" t="n"/>
      <c r="H172" s="140" t="n"/>
      <c r="I172" s="140" t="n"/>
      <c r="J172" s="14" t="n"/>
      <c r="K172" s="5" t="n"/>
      <c r="L172" s="5" t="inlineStr">
        <is>
          <t>Factures en 12/2024</t>
        </is>
      </c>
      <c r="M172" s="5" t="n"/>
      <c r="N172" s="498" t="n">
        <v>3315</v>
      </c>
      <c r="O172" s="162" t="n">
        <v>45569</v>
      </c>
      <c r="Q172" s="173" t="n"/>
      <c r="R172" s="92" t="n"/>
      <c r="S172" s="162" t="n"/>
      <c r="T172" s="100" t="n"/>
      <c r="U172" s="100" t="n"/>
      <c r="V172" s="163" t="n"/>
      <c r="W172" s="92" t="n"/>
      <c r="X172" s="24" t="n"/>
      <c r="Y172" s="23">
        <f>G172</f>
        <v/>
      </c>
      <c r="Z172" s="13" t="n"/>
      <c r="AA172" s="17" t="n"/>
      <c r="AE172" s="13">
        <f>G172</f>
        <v/>
      </c>
      <c r="AG172" s="13" t="n"/>
      <c r="AH172" s="13" t="n"/>
      <c r="AI172" s="14" t="n"/>
    </row>
    <row r="173" ht="15" customFormat="1" customHeight="1" s="363">
      <c r="A173" s="349" t="n"/>
      <c r="B173" s="350" t="n"/>
      <c r="C173" s="350" t="n"/>
      <c r="D173" s="350" t="n"/>
      <c r="E173" s="351" t="n"/>
      <c r="F173" s="352" t="n"/>
      <c r="G173" s="140" t="n"/>
      <c r="H173" s="140" t="n"/>
      <c r="I173" s="140" t="n"/>
      <c r="J173" s="14" t="n"/>
      <c r="K173" s="353" t="n"/>
      <c r="L173" s="5" t="inlineStr">
        <is>
          <t>Facturé 8/2024</t>
        </is>
      </c>
      <c r="M173" s="353" t="n"/>
      <c r="N173" s="498" t="n">
        <v>4160</v>
      </c>
      <c r="O173" s="354" t="n">
        <v>45512</v>
      </c>
      <c r="P173" s="355" t="n"/>
      <c r="Q173" s="356" t="n"/>
      <c r="R173" s="357" t="n"/>
      <c r="S173" s="354" t="n"/>
      <c r="T173" s="358" t="n"/>
      <c r="U173" s="358" t="n"/>
      <c r="V173" s="359" t="n"/>
      <c r="W173" s="357" t="n"/>
      <c r="X173" s="24" t="n"/>
      <c r="Y173" s="360">
        <f>G173</f>
        <v/>
      </c>
      <c r="Z173" s="361" t="n"/>
      <c r="AA173" s="362" t="n"/>
      <c r="AE173" s="361">
        <f>G173</f>
        <v/>
      </c>
      <c r="AG173" s="361" t="n"/>
      <c r="AH173" s="361" t="n"/>
      <c r="AI173" s="364" t="n"/>
    </row>
    <row r="174" ht="15" customHeight="1" s="520">
      <c r="A174" s="11" t="n"/>
      <c r="B174" s="3" t="n"/>
      <c r="C174" s="3" t="n"/>
      <c r="D174" s="3" t="n"/>
      <c r="E174" s="129" t="n"/>
      <c r="F174" s="10" t="n"/>
      <c r="G174" s="140" t="n"/>
      <c r="H174" s="140" t="n"/>
      <c r="I174" s="140" t="n"/>
      <c r="J174" s="14" t="n"/>
      <c r="K174" s="5" t="n"/>
      <c r="L174" s="5" t="inlineStr">
        <is>
          <t>Facturé 8/2024</t>
        </is>
      </c>
      <c r="M174" s="5" t="n"/>
      <c r="N174" s="498" t="n">
        <v>2730</v>
      </c>
      <c r="O174" s="162" t="n">
        <v>45513</v>
      </c>
      <c r="Q174" s="173" t="n"/>
      <c r="R174" s="92" t="n"/>
      <c r="S174" s="162" t="n"/>
      <c r="T174" s="100" t="n"/>
      <c r="U174" s="100" t="n"/>
      <c r="V174" s="163" t="n"/>
      <c r="W174" s="92" t="n"/>
      <c r="X174" s="24" t="n"/>
      <c r="Y174" s="23">
        <f>G174</f>
        <v/>
      </c>
      <c r="Z174" s="13" t="n"/>
      <c r="AA174" s="17" t="n"/>
      <c r="AE174" s="13">
        <f>G174</f>
        <v/>
      </c>
      <c r="AG174" s="13" t="n"/>
      <c r="AH174" s="13" t="n"/>
      <c r="AI174" s="14" t="n"/>
    </row>
    <row r="175" ht="15" customHeight="1" s="520">
      <c r="A175" s="11" t="n"/>
      <c r="B175" s="3" t="n"/>
      <c r="C175" s="3" t="n"/>
      <c r="D175" s="3" t="n"/>
      <c r="E175" s="129" t="n"/>
      <c r="F175" s="10" t="n"/>
      <c r="G175" s="140" t="n"/>
      <c r="H175" s="140" t="n"/>
      <c r="I175" s="140" t="n"/>
      <c r="J175" s="14" t="n"/>
      <c r="K175" s="5" t="n"/>
      <c r="L175" s="5" t="inlineStr">
        <is>
          <t>Facturé 12/2024</t>
        </is>
      </c>
      <c r="M175" s="5" t="n"/>
      <c r="N175" s="299" t="n">
        <v>2210</v>
      </c>
      <c r="O175" s="162" t="n">
        <v>45514</v>
      </c>
      <c r="Q175" s="173" t="n"/>
      <c r="R175" s="92" t="n"/>
      <c r="S175" s="162" t="n"/>
      <c r="T175" s="100" t="n"/>
      <c r="U175" s="100" t="n"/>
      <c r="V175" s="163" t="n"/>
      <c r="W175" s="92" t="n"/>
      <c r="X175" s="24" t="n"/>
      <c r="Y175" s="23">
        <f>G175</f>
        <v/>
      </c>
      <c r="Z175" s="13" t="n"/>
      <c r="AA175" s="17" t="n"/>
      <c r="AE175" s="13">
        <f>G175</f>
        <v/>
      </c>
      <c r="AG175" s="13" t="n"/>
      <c r="AH175" s="13" t="n"/>
      <c r="AI175" s="14" t="n"/>
    </row>
    <row r="176" ht="15" customHeight="1" s="520">
      <c r="A176" s="11" t="n"/>
      <c r="B176" s="3" t="n"/>
      <c r="C176" s="3" t="n"/>
      <c r="D176" s="3" t="n"/>
      <c r="E176" s="129" t="n"/>
      <c r="F176" s="10" t="n"/>
      <c r="G176" s="140" t="n"/>
      <c r="H176" s="140" t="n"/>
      <c r="I176" s="140" t="n"/>
      <c r="J176" s="14" t="n"/>
      <c r="K176" s="5" t="n"/>
      <c r="L176" s="5" t="inlineStr">
        <is>
          <t>A facturer</t>
        </is>
      </c>
      <c r="M176" s="5" t="n"/>
      <c r="N176" s="299" t="n"/>
      <c r="O176" s="162" t="n"/>
      <c r="Q176" s="173" t="n"/>
      <c r="R176" s="92" t="n"/>
      <c r="S176" s="162" t="n"/>
      <c r="T176" s="100" t="n"/>
      <c r="U176" s="100" t="n"/>
      <c r="V176" s="163" t="n"/>
      <c r="W176" s="92" t="n"/>
      <c r="X176" s="24" t="n"/>
      <c r="Y176" s="23">
        <f>G176</f>
        <v/>
      </c>
      <c r="Z176" s="13" t="n"/>
      <c r="AA176" s="17" t="n"/>
      <c r="AE176" s="13">
        <f>G176</f>
        <v/>
      </c>
      <c r="AG176" s="13" t="n"/>
      <c r="AH176" s="13" t="n"/>
      <c r="AI176" s="14" t="n"/>
    </row>
    <row r="177" ht="15" customHeight="1" s="520">
      <c r="A177" s="11" t="n"/>
      <c r="B177" s="3" t="n"/>
      <c r="C177" s="3" t="n"/>
      <c r="D177" s="3" t="n"/>
      <c r="E177" s="129" t="n"/>
      <c r="F177" s="10" t="n"/>
      <c r="G177" s="140" t="n"/>
      <c r="H177" s="140" t="n"/>
      <c r="I177" s="140" t="n"/>
      <c r="J177" s="14" t="n"/>
      <c r="K177" s="5" t="n"/>
      <c r="L177" s="5" t="n"/>
      <c r="M177" s="5" t="n"/>
      <c r="N177" s="299" t="n"/>
      <c r="O177" s="162" t="n"/>
      <c r="Q177" s="173" t="n"/>
      <c r="R177" s="92" t="n"/>
      <c r="S177" s="162" t="n"/>
      <c r="T177" s="100" t="n"/>
      <c r="U177" s="100" t="n"/>
      <c r="V177" s="163" t="n"/>
      <c r="W177" s="92" t="n"/>
      <c r="X177" s="24" t="n"/>
      <c r="Y177" s="23">
        <f>G177</f>
        <v/>
      </c>
      <c r="Z177" s="13" t="n"/>
      <c r="AA177" s="17" t="n"/>
      <c r="AE177" s="13">
        <f>G177</f>
        <v/>
      </c>
      <c r="AG177" s="13" t="n"/>
      <c r="AH177" s="13" t="n"/>
      <c r="AI177" s="14" t="n"/>
    </row>
    <row r="178" ht="15" customHeight="1" s="520">
      <c r="A178" s="11" t="n"/>
      <c r="B178" s="3" t="n"/>
      <c r="C178" s="3" t="n"/>
      <c r="D178" s="3" t="n"/>
      <c r="E178" s="129" t="n"/>
      <c r="F178" s="10" t="n"/>
      <c r="G178" s="140" t="n"/>
      <c r="H178" s="140" t="n"/>
      <c r="I178" s="140" t="n"/>
      <c r="J178" s="14" t="n"/>
      <c r="K178" s="5" t="n"/>
      <c r="L178" s="5" t="inlineStr">
        <is>
          <t>Facturé 12/2024</t>
        </is>
      </c>
      <c r="M178" s="5" t="n"/>
      <c r="N178" s="299" t="n">
        <v>3745</v>
      </c>
      <c r="O178" s="162" t="n"/>
      <c r="Q178" s="173" t="n"/>
      <c r="R178" s="92" t="n"/>
      <c r="S178" s="162" t="n"/>
      <c r="T178" s="100" t="n"/>
      <c r="U178" s="100" t="n"/>
      <c r="V178" s="163" t="n"/>
      <c r="W178" s="92" t="n"/>
      <c r="X178" s="24" t="n"/>
      <c r="Y178" s="23">
        <f>G178</f>
        <v/>
      </c>
      <c r="Z178" s="13" t="n"/>
      <c r="AA178" s="17" t="n"/>
      <c r="AE178" s="13">
        <f>G178</f>
        <v/>
      </c>
      <c r="AG178" s="13" t="n"/>
      <c r="AH178" s="13" t="n"/>
      <c r="AI178" s="14" t="n"/>
    </row>
    <row r="179" ht="15" customFormat="1" customHeight="1" s="363">
      <c r="A179" s="349" t="n"/>
      <c r="B179" s="350" t="n"/>
      <c r="C179" s="350" t="n"/>
      <c r="D179" s="350" t="n"/>
      <c r="E179" s="351" t="n"/>
      <c r="F179" s="352" t="n"/>
      <c r="G179" s="140" t="n"/>
      <c r="H179" s="140" t="n"/>
      <c r="I179" s="140" t="n"/>
      <c r="J179" s="14" t="n"/>
      <c r="K179" s="353" t="n"/>
      <c r="L179" s="5" t="inlineStr">
        <is>
          <t>Facturé 10/2024</t>
        </is>
      </c>
      <c r="M179" s="353" t="n"/>
      <c r="N179" s="365" t="n">
        <v>2770</v>
      </c>
      <c r="O179" s="354" t="n"/>
      <c r="P179" s="355" t="n"/>
      <c r="Q179" s="356" t="n"/>
      <c r="R179" s="357" t="n"/>
      <c r="S179" s="354" t="n"/>
      <c r="T179" s="358" t="n"/>
      <c r="U179" s="358" t="n"/>
      <c r="V179" s="359" t="n"/>
      <c r="W179" s="357" t="n"/>
      <c r="X179" s="24" t="n"/>
      <c r="Y179" s="360">
        <f>G179</f>
        <v/>
      </c>
      <c r="Z179" s="361" t="n"/>
      <c r="AA179" s="362" t="n"/>
      <c r="AE179" s="361">
        <f>G179</f>
        <v/>
      </c>
      <c r="AG179" s="361" t="n"/>
      <c r="AH179" s="361" t="n"/>
      <c r="AI179" s="364" t="n"/>
    </row>
    <row r="180" ht="15" customHeight="1" s="520">
      <c r="A180" s="11" t="n"/>
      <c r="B180" s="3" t="n"/>
      <c r="C180" s="3" t="n"/>
      <c r="D180" s="3" t="n"/>
      <c r="E180" s="129" t="n"/>
      <c r="F180" s="10" t="n"/>
      <c r="G180" s="140" t="n"/>
      <c r="H180" s="140" t="n"/>
      <c r="I180" s="140" t="n"/>
      <c r="J180" s="14" t="n"/>
      <c r="K180" s="5" t="n"/>
      <c r="L180" s="5" t="inlineStr">
        <is>
          <t>Facturé 12/2024</t>
        </is>
      </c>
      <c r="M180" s="5" t="n"/>
      <c r="N180" s="498" t="n">
        <v>2402</v>
      </c>
      <c r="O180" s="162" t="n"/>
      <c r="Q180" s="173" t="n"/>
      <c r="R180" s="92" t="n"/>
      <c r="S180" s="162" t="n"/>
      <c r="T180" s="100" t="n"/>
      <c r="U180" s="100" t="n"/>
      <c r="V180" s="163" t="n"/>
      <c r="W180" s="92" t="n"/>
      <c r="X180" s="24" t="n"/>
      <c r="Y180" s="23">
        <f>G180</f>
        <v/>
      </c>
      <c r="Z180" s="13" t="n"/>
      <c r="AA180" s="17" t="n"/>
      <c r="AE180" s="13">
        <f>G180</f>
        <v/>
      </c>
      <c r="AG180" s="13" t="n"/>
      <c r="AH180" s="13" t="n"/>
      <c r="AI180" s="14" t="n"/>
    </row>
    <row r="181" ht="15" customHeight="1" s="520">
      <c r="A181" s="11" t="n"/>
      <c r="B181" s="3" t="n"/>
      <c r="C181" s="3" t="n"/>
      <c r="D181" s="3" t="n"/>
      <c r="E181" s="129" t="n"/>
      <c r="F181" s="10" t="n"/>
      <c r="G181" s="140" t="n"/>
      <c r="H181" s="140" t="n"/>
      <c r="I181" s="140" t="n"/>
      <c r="J181" s="14" t="n"/>
      <c r="K181" s="5" t="n"/>
      <c r="L181" s="5" t="inlineStr">
        <is>
          <t>A facturer</t>
        </is>
      </c>
      <c r="M181" s="5" t="n"/>
      <c r="N181" s="299" t="n"/>
      <c r="O181" s="162" t="n"/>
      <c r="Q181" s="173" t="n"/>
      <c r="R181" s="92" t="n"/>
      <c r="S181" s="162" t="n"/>
      <c r="T181" s="100" t="n"/>
      <c r="U181" s="100" t="n"/>
      <c r="V181" s="163" t="n"/>
      <c r="W181" s="92" t="n"/>
      <c r="X181" s="24" t="n"/>
      <c r="Y181" s="23">
        <f>G181</f>
        <v/>
      </c>
      <c r="Z181" s="13" t="n"/>
      <c r="AA181" s="17" t="n"/>
      <c r="AD181" s="13">
        <f>G181</f>
        <v/>
      </c>
      <c r="AG181" s="13" t="n"/>
      <c r="AH181" s="13" t="n"/>
      <c r="AI181" s="14" t="n"/>
    </row>
    <row r="182" ht="15" customHeight="1" s="520">
      <c r="A182" s="11" t="n"/>
      <c r="B182" s="3" t="n"/>
      <c r="C182" s="3" t="n"/>
      <c r="D182" s="3" t="n"/>
      <c r="E182" s="129" t="n"/>
      <c r="F182" s="10" t="n"/>
      <c r="G182" s="140" t="n"/>
      <c r="H182" s="140" t="n"/>
      <c r="I182" s="140" t="n"/>
      <c r="J182" s="14" t="n"/>
      <c r="K182" s="5" t="n"/>
      <c r="L182" s="5" t="inlineStr">
        <is>
          <t>Facturé 12/2024</t>
        </is>
      </c>
      <c r="M182" s="5" t="n"/>
      <c r="N182" s="498" t="n">
        <v>9380</v>
      </c>
      <c r="O182" s="162" t="n"/>
      <c r="Q182" s="173" t="n"/>
      <c r="R182" s="92" t="n"/>
      <c r="S182" s="162" t="n"/>
      <c r="T182" s="100" t="n"/>
      <c r="U182" s="100" t="n"/>
      <c r="V182" s="163" t="n"/>
      <c r="W182" s="92" t="n"/>
      <c r="X182" s="24" t="n"/>
      <c r="Y182" s="23">
        <f>G182</f>
        <v/>
      </c>
      <c r="Z182" s="13" t="n"/>
      <c r="AA182" s="17" t="n"/>
      <c r="AD182" s="13">
        <f>G182</f>
        <v/>
      </c>
      <c r="AG182" s="13" t="n"/>
      <c r="AH182" s="13" t="n"/>
      <c r="AI182" s="14" t="n"/>
    </row>
    <row r="183" ht="15" customHeight="1" s="520">
      <c r="A183" s="11" t="n"/>
      <c r="B183" s="3" t="n"/>
      <c r="C183" s="3" t="n"/>
      <c r="D183" s="3" t="n"/>
      <c r="E183" s="129" t="n"/>
      <c r="F183" s="10" t="n"/>
      <c r="G183" s="140" t="n"/>
      <c r="H183" s="140" t="n"/>
      <c r="I183" s="140" t="n"/>
      <c r="J183" s="14" t="n"/>
      <c r="K183" s="5" t="n"/>
      <c r="L183" s="5" t="n"/>
      <c r="M183" s="5" t="n"/>
      <c r="N183" s="5" t="n"/>
      <c r="O183" s="162" t="n"/>
      <c r="Q183" s="173" t="n"/>
      <c r="R183" s="92" t="n"/>
      <c r="S183" s="162" t="n"/>
      <c r="T183" s="100" t="n"/>
      <c r="U183" s="100" t="n"/>
      <c r="V183" s="163" t="n"/>
      <c r="W183" s="92" t="n"/>
      <c r="X183" s="24" t="n"/>
      <c r="Y183" s="23">
        <f>G183</f>
        <v/>
      </c>
      <c r="Z183" s="13" t="n"/>
      <c r="AA183" s="17" t="n"/>
      <c r="AD183" s="23" t="n"/>
      <c r="AE183" s="13">
        <f>G183</f>
        <v/>
      </c>
      <c r="AG183" s="13" t="n"/>
      <c r="AH183" s="13" t="n"/>
      <c r="AI183" s="14" t="n"/>
    </row>
    <row r="184" ht="15" customHeight="1" s="520">
      <c r="A184" s="11" t="n"/>
      <c r="B184" s="3" t="n"/>
      <c r="C184" s="3" t="n"/>
      <c r="D184" s="3" t="n"/>
      <c r="E184" s="129" t="n"/>
      <c r="F184" s="10" t="n"/>
      <c r="G184" s="140" t="n"/>
      <c r="H184" s="140" t="n"/>
      <c r="I184" s="140" t="n"/>
      <c r="J184" s="14" t="n"/>
      <c r="K184" s="5" t="n"/>
      <c r="L184" s="5" t="inlineStr">
        <is>
          <t>Facturé 12/2024</t>
        </is>
      </c>
      <c r="M184" s="5" t="n"/>
      <c r="N184" s="5" t="n">
        <v>2222</v>
      </c>
      <c r="O184" s="162" t="n">
        <v>45140</v>
      </c>
      <c r="Q184" s="173" t="n"/>
      <c r="R184" s="92" t="n"/>
      <c r="S184" s="162" t="n"/>
      <c r="T184" s="100" t="n"/>
      <c r="U184" s="100" t="n"/>
      <c r="V184" s="163" t="n"/>
      <c r="W184" s="92" t="n"/>
      <c r="X184" s="24" t="n"/>
      <c r="Y184" s="23">
        <f>G184</f>
        <v/>
      </c>
      <c r="Z184" s="13" t="n"/>
      <c r="AA184" s="17" t="n"/>
      <c r="AD184" s="23" t="n"/>
      <c r="AE184" s="13">
        <f>G184</f>
        <v/>
      </c>
      <c r="AG184" s="13" t="n"/>
      <c r="AH184" s="13" t="n"/>
      <c r="AI184" s="14" t="n"/>
    </row>
    <row r="185" ht="15" customHeight="1" s="520">
      <c r="A185" s="11" t="n"/>
      <c r="B185" s="3" t="n"/>
      <c r="C185" s="3" t="n"/>
      <c r="D185" s="3" t="n"/>
      <c r="E185" s="129" t="n"/>
      <c r="F185" s="10" t="n"/>
      <c r="G185" s="140" t="n"/>
      <c r="H185" s="140" t="n"/>
      <c r="I185" s="140" t="n"/>
      <c r="J185" s="14" t="n"/>
      <c r="K185" s="5" t="n"/>
      <c r="L185" s="5" t="inlineStr">
        <is>
          <t>Facturé 12/2024</t>
        </is>
      </c>
      <c r="M185" s="5" t="n"/>
      <c r="N185" s="5" t="n">
        <v>4785</v>
      </c>
      <c r="O185" s="162" t="n">
        <v>45140</v>
      </c>
      <c r="Q185" s="173" t="n"/>
      <c r="R185" s="92" t="n"/>
      <c r="S185" s="162" t="n"/>
      <c r="T185" s="100" t="n"/>
      <c r="U185" s="100" t="n"/>
      <c r="V185" s="163" t="n"/>
      <c r="W185" s="92" t="n"/>
      <c r="X185" s="24" t="n"/>
      <c r="Y185" s="23">
        <f>G185</f>
        <v/>
      </c>
      <c r="Z185" s="13" t="n"/>
      <c r="AA185" s="17" t="n"/>
      <c r="AD185" s="23" t="n"/>
      <c r="AE185" s="13">
        <f>G185</f>
        <v/>
      </c>
      <c r="AG185" s="13" t="n"/>
      <c r="AH185" s="13" t="n"/>
      <c r="AI185" s="14" t="n"/>
    </row>
    <row r="186" ht="15" customHeight="1" s="520">
      <c r="A186" s="11" t="n"/>
      <c r="B186" s="3" t="n"/>
      <c r="C186" s="3" t="n"/>
      <c r="D186" s="3" t="n"/>
      <c r="E186" s="129" t="n"/>
      <c r="F186" s="10" t="n"/>
      <c r="G186" s="140" t="n"/>
      <c r="H186" s="140" t="n"/>
      <c r="I186" s="140" t="n"/>
      <c r="J186" s="14" t="n"/>
      <c r="K186" s="5" t="n"/>
      <c r="L186" s="5" t="n"/>
      <c r="M186" s="5" t="n"/>
      <c r="N186" s="299" t="n"/>
      <c r="O186" s="162" t="n">
        <v>45117</v>
      </c>
      <c r="Q186" s="173" t="n"/>
      <c r="R186" s="92" t="n"/>
      <c r="S186" s="162" t="n"/>
      <c r="T186" s="100" t="n"/>
      <c r="U186" s="100" t="n"/>
      <c r="V186" s="163" t="n"/>
      <c r="W186" s="92" t="n"/>
      <c r="X186" s="24" t="n"/>
      <c r="Y186" s="23">
        <f>G186</f>
        <v/>
      </c>
      <c r="Z186" s="13" t="n"/>
      <c r="AA186" s="17" t="n"/>
      <c r="AD186" s="23" t="n"/>
      <c r="AE186" s="13">
        <f>G186</f>
        <v/>
      </c>
      <c r="AG186" s="13" t="n"/>
      <c r="AH186" s="13" t="n"/>
      <c r="AI186" s="14" t="n"/>
    </row>
    <row r="187" ht="15" customHeight="1" s="520">
      <c r="A187" s="11" t="n"/>
      <c r="B187" s="3" t="n"/>
      <c r="C187" s="3" t="n"/>
      <c r="D187" s="3" t="n"/>
      <c r="E187" s="129" t="n"/>
      <c r="F187" s="10" t="n"/>
      <c r="G187" s="140" t="n"/>
      <c r="H187" s="140" t="n"/>
      <c r="I187" s="140" t="n"/>
      <c r="J187" s="14" t="n"/>
      <c r="K187" s="5" t="n"/>
      <c r="L187" s="5" t="n"/>
      <c r="M187" s="5" t="n"/>
      <c r="N187" s="299" t="n"/>
      <c r="O187" s="162" t="n">
        <v>45146</v>
      </c>
      <c r="Q187" s="173" t="n"/>
      <c r="R187" s="92" t="n"/>
      <c r="S187" s="162" t="n"/>
      <c r="T187" s="100" t="n"/>
      <c r="U187" s="100" t="n"/>
      <c r="V187" s="163" t="n"/>
      <c r="W187" s="92" t="n"/>
      <c r="X187" s="24" t="n"/>
      <c r="Y187" s="23">
        <f>G187</f>
        <v/>
      </c>
      <c r="Z187" s="13" t="n"/>
      <c r="AA187" s="17" t="n"/>
      <c r="AD187" s="23" t="n"/>
      <c r="AE187" s="13">
        <f>G187</f>
        <v/>
      </c>
      <c r="AG187" s="13" t="n"/>
      <c r="AH187" s="13" t="n"/>
      <c r="AI187" s="14" t="n"/>
    </row>
    <row r="188" ht="15" customFormat="1" customHeight="1" s="363">
      <c r="A188" s="349" t="n"/>
      <c r="B188" s="350" t="n"/>
      <c r="C188" s="350" t="n"/>
      <c r="D188" s="350" t="n"/>
      <c r="E188" s="351" t="n"/>
      <c r="F188" s="352" t="n"/>
      <c r="G188" s="140" t="n"/>
      <c r="H188" s="140" t="n"/>
      <c r="I188" s="140" t="n"/>
      <c r="J188" s="14" t="n"/>
      <c r="K188" s="353" t="n"/>
      <c r="L188" s="5" t="inlineStr">
        <is>
          <t>Facturé 08/2024</t>
        </is>
      </c>
      <c r="M188" s="353" t="n"/>
      <c r="N188" s="498" t="n">
        <v>3290</v>
      </c>
      <c r="O188" s="354" t="n">
        <v>45254</v>
      </c>
      <c r="P188" s="355" t="n"/>
      <c r="Q188" s="356" t="n"/>
      <c r="R188" s="357" t="n"/>
      <c r="S188" s="354" t="n"/>
      <c r="T188" s="358" t="n"/>
      <c r="U188" s="358" t="n"/>
      <c r="V188" s="359" t="n"/>
      <c r="W188" s="357" t="n"/>
      <c r="X188" s="24" t="n"/>
      <c r="Y188" s="360">
        <f>G188</f>
        <v/>
      </c>
      <c r="Z188" s="361" t="n"/>
      <c r="AA188" s="362" t="n"/>
      <c r="AD188" s="360" t="n"/>
      <c r="AE188" s="361">
        <f>G188</f>
        <v/>
      </c>
      <c r="AG188" s="361" t="n"/>
      <c r="AH188" s="361" t="n"/>
      <c r="AI188" s="364" t="n"/>
    </row>
    <row r="189" ht="15" customHeight="1" s="520">
      <c r="A189" s="11" t="n"/>
      <c r="B189" s="3" t="n"/>
      <c r="C189" s="3" t="n"/>
      <c r="D189" s="3" t="n"/>
      <c r="E189" s="129" t="n"/>
      <c r="F189" s="10" t="n"/>
      <c r="G189" s="140" t="n"/>
      <c r="H189" s="140" t="n"/>
      <c r="I189" s="140" t="n"/>
      <c r="J189" s="14" t="n"/>
      <c r="K189" s="5" t="n"/>
      <c r="L189" s="5" t="inlineStr">
        <is>
          <t>A facturer</t>
        </is>
      </c>
      <c r="M189" s="5" t="n"/>
      <c r="N189" s="299" t="n"/>
      <c r="O189" s="162" t="n">
        <v>45254</v>
      </c>
      <c r="Q189" s="173" t="n"/>
      <c r="R189" s="92" t="n"/>
      <c r="S189" s="162" t="n"/>
      <c r="T189" s="100" t="n"/>
      <c r="U189" s="100" t="n"/>
      <c r="V189" s="163" t="n"/>
      <c r="W189" s="92" t="n"/>
      <c r="X189" s="24" t="n"/>
      <c r="Y189" s="23">
        <f>G189</f>
        <v/>
      </c>
      <c r="Z189" s="13" t="n"/>
      <c r="AA189" s="17" t="n"/>
      <c r="AD189" s="23" t="n"/>
      <c r="AE189" s="13">
        <f>G189</f>
        <v/>
      </c>
      <c r="AG189" s="13" t="n"/>
      <c r="AH189" s="13" t="n"/>
      <c r="AI189" s="14" t="n"/>
    </row>
    <row r="190" ht="15" customHeight="1" s="520">
      <c r="A190" s="11" t="n"/>
      <c r="B190" s="3" t="n"/>
      <c r="C190" s="3" t="n"/>
      <c r="D190" s="3" t="n"/>
      <c r="E190" s="129" t="n"/>
      <c r="F190" s="10" t="n"/>
      <c r="G190" s="140" t="n"/>
      <c r="H190" s="140" t="n"/>
      <c r="I190" s="140" t="n"/>
      <c r="J190" s="14" t="n"/>
      <c r="K190" s="5" t="n"/>
      <c r="L190" s="5" t="n"/>
      <c r="M190" s="5" t="n"/>
      <c r="N190" s="299" t="n"/>
      <c r="O190" s="162" t="n">
        <v>45201</v>
      </c>
      <c r="Q190" s="173" t="n"/>
      <c r="R190" s="92" t="n"/>
      <c r="S190" s="162" t="n"/>
      <c r="T190" s="100" t="n"/>
      <c r="U190" s="100" t="n"/>
      <c r="V190" s="163" t="n"/>
      <c r="W190" s="92" t="n"/>
      <c r="X190" s="23">
        <f>G190</f>
        <v/>
      </c>
      <c r="Y190" s="13" t="n"/>
      <c r="Z190" s="13" t="n"/>
      <c r="AA190" s="17" t="n"/>
      <c r="AD190" s="23" t="n"/>
      <c r="AE190" s="13" t="n"/>
      <c r="AF190" s="13">
        <f>G190</f>
        <v/>
      </c>
      <c r="AG190" s="13" t="n"/>
      <c r="AH190" s="13" t="n"/>
      <c r="AI190" s="14" t="n"/>
    </row>
    <row r="191" ht="15" customHeight="1" s="520">
      <c r="A191" s="11" t="n"/>
      <c r="B191" s="3" t="n"/>
      <c r="C191" s="3" t="n"/>
      <c r="D191" s="3" t="n"/>
      <c r="E191" s="129" t="n"/>
      <c r="F191" s="10" t="n"/>
      <c r="G191" s="140" t="n"/>
      <c r="H191" s="140" t="n"/>
      <c r="I191" s="140" t="n"/>
      <c r="J191" s="14" t="n"/>
      <c r="K191" s="5" t="n"/>
      <c r="L191" s="5" t="inlineStr">
        <is>
          <t>Facturé 12/2024 12/2023</t>
        </is>
      </c>
      <c r="M191" s="5" t="n"/>
      <c r="N191" s="299" t="n">
        <v>5880</v>
      </c>
      <c r="O191" s="162" t="n">
        <v>45201</v>
      </c>
      <c r="Q191" s="173" t="n"/>
      <c r="R191" s="92" t="n"/>
      <c r="S191" s="162" t="n"/>
      <c r="T191" s="100" t="n"/>
      <c r="U191" s="100" t="n"/>
      <c r="V191" s="163" t="n"/>
      <c r="W191" s="92" t="n"/>
      <c r="X191" s="23">
        <f>G191</f>
        <v/>
      </c>
      <c r="Y191" s="13" t="n"/>
      <c r="Z191" s="13" t="n"/>
      <c r="AA191" s="17" t="n"/>
      <c r="AD191" s="23" t="n"/>
      <c r="AE191" s="13" t="n"/>
      <c r="AF191" s="13">
        <f>G191</f>
        <v/>
      </c>
      <c r="AG191" s="13" t="n"/>
      <c r="AH191" s="13" t="n"/>
      <c r="AI191" s="14" t="n"/>
    </row>
    <row r="192" ht="15" customHeight="1" s="520">
      <c r="A192" s="11" t="n"/>
      <c r="B192" s="3" t="n"/>
      <c r="C192" s="3" t="n"/>
      <c r="D192" s="3" t="n"/>
      <c r="E192" s="129" t="n"/>
      <c r="F192" s="10" t="n"/>
      <c r="G192" s="140" t="n"/>
      <c r="H192" s="140" t="n"/>
      <c r="I192" s="140" t="n"/>
      <c r="J192" s="14" t="n"/>
      <c r="K192" s="5" t="n"/>
      <c r="L192" s="5" t="inlineStr">
        <is>
          <t>Facturé 12/2024</t>
        </is>
      </c>
      <c r="M192" s="5" t="n"/>
      <c r="N192" s="299" t="n">
        <v>4785</v>
      </c>
      <c r="O192" s="162" t="n">
        <v>45167</v>
      </c>
      <c r="Q192" s="173" t="n"/>
      <c r="R192" s="92" t="n"/>
      <c r="S192" s="162" t="n"/>
      <c r="T192" s="100" t="n"/>
      <c r="U192" s="100" t="n"/>
      <c r="V192" s="163" t="n"/>
      <c r="W192" s="92" t="n"/>
      <c r="X192" s="24" t="n"/>
      <c r="Y192" s="13">
        <f>G192</f>
        <v/>
      </c>
      <c r="Z192" s="13" t="n"/>
      <c r="AA192" s="17" t="n"/>
      <c r="AD192" s="23" t="n"/>
      <c r="AE192" s="13" t="n"/>
      <c r="AF192" s="13" t="n"/>
      <c r="AG192" s="13" t="n"/>
      <c r="AH192" s="13" t="n"/>
      <c r="AI192" s="14">
        <f>G192</f>
        <v/>
      </c>
    </row>
    <row r="193" ht="15" customHeight="1" s="520">
      <c r="A193" s="11" t="n"/>
      <c r="B193" s="3" t="n"/>
      <c r="C193" s="3" t="n"/>
      <c r="D193" s="3" t="n"/>
      <c r="E193" s="129" t="n"/>
      <c r="F193" s="10" t="n"/>
      <c r="G193" s="140" t="n"/>
      <c r="H193" s="140" t="n"/>
      <c r="I193" s="140" t="n"/>
      <c r="J193" s="14" t="n"/>
      <c r="K193" s="5" t="n"/>
      <c r="L193" s="5" t="inlineStr">
        <is>
          <t>A facturer</t>
        </is>
      </c>
      <c r="M193" s="5" t="n"/>
      <c r="N193" s="299" t="n"/>
      <c r="O193" s="162" t="n">
        <v>44979</v>
      </c>
      <c r="Q193" s="173" t="n"/>
      <c r="R193" s="92" t="n"/>
      <c r="S193" s="162" t="n"/>
      <c r="T193" s="100" t="n"/>
      <c r="U193" s="100" t="n"/>
      <c r="V193" s="163" t="n"/>
      <c r="W193" s="92" t="n"/>
      <c r="X193" s="23">
        <f>G193</f>
        <v/>
      </c>
      <c r="Y193" s="13" t="n"/>
      <c r="Z193" s="13" t="n"/>
      <c r="AA193" s="17" t="n"/>
      <c r="AD193" s="23" t="n"/>
      <c r="AE193" s="13" t="n"/>
      <c r="AF193" s="13" t="n"/>
      <c r="AG193" s="13">
        <f>G193</f>
        <v/>
      </c>
      <c r="AH193" s="13" t="n"/>
      <c r="AI193" s="17" t="n"/>
    </row>
    <row r="194" ht="15" customHeight="1" s="520">
      <c r="A194" s="11" t="n"/>
      <c r="B194" s="3" t="n"/>
      <c r="C194" s="3" t="n"/>
      <c r="D194" s="3" t="n"/>
      <c r="E194" s="129" t="n"/>
      <c r="F194" s="3" t="n"/>
      <c r="G194" s="140" t="n"/>
      <c r="H194" s="140" t="n"/>
      <c r="I194" s="140" t="n"/>
      <c r="J194" s="14" t="n"/>
      <c r="K194" s="5" t="n"/>
      <c r="L194" s="5" t="inlineStr">
        <is>
          <t>Facturé 01/2024 et 01/2025</t>
        </is>
      </c>
      <c r="M194" s="5" t="n"/>
      <c r="N194" s="498" t="n">
        <v>25605</v>
      </c>
      <c r="O194" s="162" t="n">
        <v>44894</v>
      </c>
      <c r="Q194" s="173" t="n"/>
      <c r="R194" s="92" t="n"/>
      <c r="S194" s="162" t="n"/>
      <c r="T194" s="100" t="n"/>
      <c r="U194" s="100" t="n"/>
      <c r="V194" s="163" t="n"/>
      <c r="W194" s="92" t="n"/>
      <c r="X194" s="24" t="n"/>
      <c r="Y194" s="13">
        <f>G194</f>
        <v/>
      </c>
      <c r="Z194" s="13" t="n"/>
      <c r="AA194" s="17" t="n"/>
      <c r="AD194" s="23" t="n"/>
      <c r="AE194" s="13">
        <f>G194</f>
        <v/>
      </c>
      <c r="AF194" s="13" t="n"/>
      <c r="AG194" s="13" t="n"/>
      <c r="AH194" s="13" t="n"/>
      <c r="AI194" s="17" t="n"/>
    </row>
    <row r="195" ht="15" customHeight="1" s="520">
      <c r="A195" s="2" t="n"/>
      <c r="B195" s="5" t="n"/>
      <c r="E195" s="129" t="n"/>
      <c r="F195" s="3" t="n"/>
      <c r="G195" s="140" t="n"/>
      <c r="H195" s="140" t="n"/>
      <c r="I195" s="140" t="n"/>
      <c r="J195" s="14" t="n"/>
      <c r="K195" s="5" t="n"/>
      <c r="L195" s="5" t="inlineStr">
        <is>
          <t>3 factures 2023 et 2024</t>
        </is>
      </c>
      <c r="M195" s="5" t="n"/>
      <c r="N195" s="299" t="n">
        <v>32435</v>
      </c>
      <c r="O195" s="162" t="n">
        <v>44197</v>
      </c>
      <c r="Q195" s="173" t="n"/>
      <c r="R195" s="92" t="n"/>
      <c r="S195" s="162" t="n"/>
      <c r="T195" s="100" t="n"/>
      <c r="U195" s="100" t="n"/>
      <c r="V195" s="163" t="n"/>
      <c r="W195" s="92" t="n"/>
      <c r="X195" s="24" t="n"/>
      <c r="Y195" s="13">
        <f>G195</f>
        <v/>
      </c>
      <c r="Z195" s="13" t="n"/>
      <c r="AA195" s="17" t="n"/>
      <c r="AD195" s="23" t="n"/>
      <c r="AE195" s="13">
        <f>G195</f>
        <v/>
      </c>
      <c r="AF195" s="13" t="n"/>
      <c r="AG195" s="13" t="n"/>
      <c r="AH195" s="13" t="n"/>
      <c r="AI195" s="17" t="n"/>
    </row>
    <row r="196" ht="15" customHeight="1" s="520">
      <c r="A196" s="2" t="n"/>
      <c r="B196" s="5" t="n"/>
      <c r="E196" s="129" t="n"/>
      <c r="F196" s="3" t="n"/>
      <c r="G196" s="140" t="n"/>
      <c r="H196" s="140" t="n"/>
      <c r="I196" s="140" t="n"/>
      <c r="J196" s="14" t="n"/>
      <c r="K196" s="5" t="n"/>
      <c r="L196" s="5" t="inlineStr">
        <is>
          <t>facturé 12/2024</t>
        </is>
      </c>
      <c r="M196" s="5" t="n"/>
      <c r="N196" s="299" t="n">
        <v>19750</v>
      </c>
      <c r="O196" s="162" t="n">
        <v>44989</v>
      </c>
      <c r="Q196" s="173" t="n"/>
      <c r="R196" s="92" t="n"/>
      <c r="S196" s="162" t="n"/>
      <c r="T196" s="100" t="n"/>
      <c r="U196" s="100" t="n"/>
      <c r="V196" s="163" t="n"/>
      <c r="W196" s="92" t="n"/>
      <c r="X196" s="23" t="n"/>
      <c r="Y196" s="13">
        <f>G196</f>
        <v/>
      </c>
      <c r="Z196" s="16" t="n"/>
      <c r="AA196" s="17" t="n"/>
      <c r="AD196" s="23">
        <f>G196</f>
        <v/>
      </c>
      <c r="AE196" s="13" t="n"/>
      <c r="AF196" s="140" t="n"/>
      <c r="AG196" s="16" t="n"/>
      <c r="AH196" s="16" t="n"/>
      <c r="AI196" s="17" t="n"/>
    </row>
    <row r="197" ht="15" customHeight="1" s="520">
      <c r="A197" s="11" t="n"/>
      <c r="B197" s="3" t="n"/>
      <c r="C197" s="3" t="n"/>
      <c r="D197" s="3" t="n"/>
      <c r="E197" s="129" t="n"/>
      <c r="F197" s="3" t="n"/>
      <c r="G197" s="269" t="n"/>
      <c r="H197" s="140" t="n"/>
      <c r="I197" s="13" t="n"/>
      <c r="J197" s="14" t="n"/>
      <c r="K197" s="5" t="n"/>
      <c r="L197" s="5" t="n"/>
      <c r="M197" s="5" t="n"/>
      <c r="O197" s="499" t="n"/>
      <c r="Q197" s="173" t="n"/>
      <c r="R197" s="92" t="n"/>
      <c r="S197" s="162" t="n"/>
      <c r="T197" s="100" t="n"/>
      <c r="U197" s="100" t="n"/>
      <c r="V197" s="163" t="n"/>
      <c r="W197" s="92" t="n"/>
      <c r="X197" s="24" t="n"/>
      <c r="Y197" s="13">
        <f>G197</f>
        <v/>
      </c>
      <c r="Z197" s="13" t="n"/>
      <c r="AA197" s="17" t="n"/>
      <c r="AD197" s="23" t="n"/>
      <c r="AE197" s="13">
        <f>G197</f>
        <v/>
      </c>
      <c r="AF197" s="13" t="n"/>
      <c r="AG197" s="13" t="n"/>
      <c r="AH197" s="13" t="n"/>
      <c r="AI197" s="17" t="n"/>
    </row>
    <row r="198" ht="15" customHeight="1" s="520">
      <c r="A198" s="2" t="n"/>
      <c r="E198" s="129" t="n"/>
      <c r="G198" s="262" t="n"/>
      <c r="H198" s="262" t="n"/>
      <c r="I198" s="262" t="n"/>
      <c r="J198" s="40" t="n"/>
      <c r="K198" s="5" t="n"/>
      <c r="L198" s="5" t="n"/>
      <c r="M198" s="5" t="n"/>
      <c r="O198" s="180" t="n"/>
      <c r="Q198" s="173" t="n"/>
      <c r="R198" s="92" t="n"/>
      <c r="S198" s="162" t="n"/>
      <c r="T198" s="100" t="n"/>
      <c r="U198" s="100" t="n"/>
      <c r="V198" s="163" t="n"/>
      <c r="W198" s="92" t="n"/>
      <c r="X198" s="24" t="n"/>
      <c r="Y198" s="13">
        <f>G198</f>
        <v/>
      </c>
      <c r="Z198" s="13" t="n"/>
      <c r="AA198" s="17" t="n"/>
      <c r="AD198" s="24" t="n"/>
      <c r="AE198" s="13">
        <f>G198</f>
        <v/>
      </c>
      <c r="AF198" s="13" t="n"/>
      <c r="AG198" s="13" t="n"/>
      <c r="AH198" s="13" t="n"/>
      <c r="AI198" s="17" t="n"/>
    </row>
    <row r="199" ht="15" customHeight="1" s="520" thickBot="1">
      <c r="A199" s="31" t="inlineStr">
        <is>
          <t>Etudes total a confirmer</t>
        </is>
      </c>
      <c r="B199" s="32" t="n"/>
      <c r="C199" s="32" t="n"/>
      <c r="D199" s="32" t="n"/>
      <c r="E199" s="203" t="n"/>
      <c r="F199" s="32" t="n"/>
      <c r="G199" s="33">
        <f>SUM(G197:G198)</f>
        <v/>
      </c>
      <c r="H199" s="34">
        <f>SUM(H163:H198)</f>
        <v/>
      </c>
      <c r="I199" s="34">
        <f>SUM(I163:I198)</f>
        <v/>
      </c>
      <c r="J199" s="34" t="n"/>
      <c r="K199" s="235" t="n"/>
      <c r="L199" s="235" t="n"/>
      <c r="M199" s="235" t="n"/>
      <c r="O199" s="191" t="n"/>
      <c r="P199" s="192" t="n"/>
      <c r="Q199" s="193" t="n"/>
      <c r="R199" s="247" t="n"/>
      <c r="S199" s="166" t="n"/>
      <c r="T199" s="167" t="n"/>
      <c r="U199" s="167" t="n"/>
      <c r="V199" s="168" t="n"/>
      <c r="W199" s="92" t="n"/>
      <c r="X199" s="81">
        <f>SUM(X163:X198)</f>
        <v/>
      </c>
      <c r="Y199" s="82">
        <f>SUM(Y169:Y198)</f>
        <v/>
      </c>
      <c r="Z199" s="82">
        <f>SUM(Z163:Z198)</f>
        <v/>
      </c>
      <c r="AA199" s="83">
        <f>SUM(AA163:AA198)</f>
        <v/>
      </c>
      <c r="AB199" s="84">
        <f>SUM(X199:AA199)</f>
        <v/>
      </c>
      <c r="AC199" s="84" t="n"/>
      <c r="AD199" s="81">
        <f>SUM(AD169:AD198)</f>
        <v/>
      </c>
      <c r="AE199" s="82">
        <f>SUM(AE163:AE198)</f>
        <v/>
      </c>
      <c r="AF199" s="82">
        <f>SUM(AF163:AF198)</f>
        <v/>
      </c>
      <c r="AG199" s="82">
        <f>SUM(AG163:AG198)</f>
        <v/>
      </c>
      <c r="AH199" s="82">
        <f>SUM(AH163:AH198)</f>
        <v/>
      </c>
      <c r="AI199" s="83">
        <f>SUM(AI163:AI198)</f>
        <v/>
      </c>
      <c r="AJ199" s="12">
        <f>SUM(AD199:AI199)</f>
        <v/>
      </c>
      <c r="AK199" s="5">
        <f>SUM(AD199:AI199)</f>
        <v/>
      </c>
    </row>
    <row r="200" ht="15" customHeight="1" s="520" thickBot="1">
      <c r="A200" s="2" t="n"/>
      <c r="E200" s="129" t="n"/>
      <c r="I200" s="52" t="n"/>
      <c r="J200" s="52" t="n"/>
      <c r="S200" s="100" t="n"/>
      <c r="T200" s="100" t="n"/>
      <c r="U200" s="100" t="n"/>
      <c r="V200" s="100" t="n"/>
      <c r="X200" s="85">
        <f>IFERROR(X199/$AB199,0)</f>
        <v/>
      </c>
      <c r="Y200" s="85">
        <f>IFERROR(Y199/$AB199,0)</f>
        <v/>
      </c>
      <c r="Z200" s="85">
        <f>IFERROR(Z199/$AB199,0)</f>
        <v/>
      </c>
      <c r="AA200" s="85">
        <f>IFERROR(AA199/$AB199,0)</f>
        <v/>
      </c>
      <c r="AB200" s="69">
        <f>SUM(X200:AA200)</f>
        <v/>
      </c>
      <c r="AC200" s="69" t="n"/>
      <c r="AD200" s="85">
        <f>AD199/$AK199</f>
        <v/>
      </c>
      <c r="AE200" s="85">
        <f>AE199/$AK199</f>
        <v/>
      </c>
      <c r="AF200" s="85">
        <f>AF199/$AK199</f>
        <v/>
      </c>
      <c r="AG200" s="85">
        <f>AG199/$AK199</f>
        <v/>
      </c>
      <c r="AH200" s="85">
        <f>AH199/$AK199</f>
        <v/>
      </c>
      <c r="AI200" s="85">
        <f>AI199/$AK199</f>
        <v/>
      </c>
      <c r="AJ200" s="69">
        <f>SUM(AD200:AI200)</f>
        <v/>
      </c>
      <c r="AK200" s="5" t="n"/>
    </row>
    <row r="201" ht="15" customHeight="1" s="520" thickBot="1">
      <c r="A201" s="2" t="n"/>
      <c r="E201" s="129" t="n"/>
      <c r="I201" s="52" t="n"/>
      <c r="J201" s="52" t="n"/>
    </row>
    <row r="202" ht="15" customHeight="1" s="520">
      <c r="A202" s="37" t="n"/>
      <c r="B202" s="38" t="n"/>
      <c r="C202" s="38" t="n"/>
      <c r="D202" s="38" t="n"/>
      <c r="E202" s="204" t="n"/>
      <c r="F202" s="38" t="n"/>
      <c r="G202" s="39" t="n"/>
      <c r="H202" s="47" t="inlineStr">
        <is>
          <t>Planning 2025</t>
        </is>
      </c>
      <c r="I202" s="48" t="inlineStr">
        <is>
          <t>Planning 2026</t>
        </is>
      </c>
      <c r="J202" s="48" t="inlineStr">
        <is>
          <t>Planning 2027</t>
        </is>
      </c>
      <c r="K202" s="145" t="n"/>
      <c r="L202" s="145" t="n"/>
      <c r="M202" s="145" t="n"/>
      <c r="O202" s="145" t="n"/>
      <c r="P202" s="146" t="n"/>
      <c r="Q202" s="94" t="n"/>
      <c r="R202" s="94" t="n"/>
      <c r="S202" s="96" t="n"/>
      <c r="T202" s="96" t="n"/>
      <c r="U202" s="96" t="n"/>
      <c r="V202" s="96" t="n"/>
      <c r="W202" s="94" t="n"/>
    </row>
    <row r="203" ht="15" customHeight="1" s="520">
      <c r="A203" s="35" t="inlineStr">
        <is>
          <t xml:space="preserve">FORECAST + PIPE (hors études et entretien) </t>
        </is>
      </c>
      <c r="B203" s="36" t="n"/>
      <c r="C203" s="36" t="n"/>
      <c r="D203" s="36" t="n"/>
      <c r="E203" s="254" t="n"/>
      <c r="F203" s="36" t="n"/>
      <c r="G203" s="36" t="n"/>
      <c r="H203" s="20">
        <f>H52+H65+H130+H157</f>
        <v/>
      </c>
      <c r="I203" s="20">
        <f>I52+I65+I130+I157</f>
        <v/>
      </c>
      <c r="J203" s="20">
        <f>J52+J65+J199+J130+J157</f>
        <v/>
      </c>
      <c r="K203" s="12" t="n"/>
      <c r="L203" s="12" t="n"/>
      <c r="M203" s="12" t="n"/>
      <c r="O203" s="12" t="n"/>
      <c r="P203" s="144" t="n"/>
      <c r="Q203" s="95" t="n"/>
      <c r="R203" s="95" t="n"/>
      <c r="S203" s="95" t="n"/>
      <c r="T203" s="95" t="n"/>
      <c r="U203" s="95" t="n"/>
      <c r="V203" s="95" t="n"/>
      <c r="W203" s="9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8A"/>
  <autoFilter ref="A3:BC204"/>
  <mergeCells count="14">
    <mergeCell ref="X160:AA160"/>
    <mergeCell ref="AD133:AI133"/>
    <mergeCell ref="AD1:AI1"/>
    <mergeCell ref="A67:I68"/>
    <mergeCell ref="AD67:AI67"/>
    <mergeCell ref="A159:I160"/>
    <mergeCell ref="AD160:AI160"/>
    <mergeCell ref="AD54:AI54"/>
    <mergeCell ref="A133:I134"/>
    <mergeCell ref="A1:I1"/>
    <mergeCell ref="X54:AA54"/>
    <mergeCell ref="X1:AA1"/>
    <mergeCell ref="X67:AA67"/>
    <mergeCell ref="A54:I54"/>
  </mergeCells>
  <printOptions horizontalCentered="1" gridLines="1"/>
  <pageMargins left="0.25" right="0.25" top="0.75" bottom="0.75" header="0.3" footer="0.3"/>
  <pageSetup orientation="landscape" paperSize="9" scale="70" fitToHeight="0"/>
  <headerFooter>
    <oddHeader>&amp;L&amp;16 &amp;G&amp;R&amp;"-,Gras"&amp;16 SYNTHESE COMMERCIALE</oddHeader>
    <oddFooter>&amp;CPage &amp;P&amp;R&amp;D</oddFooter>
    <evenHeader/>
    <evenFooter/>
    <firstHeader/>
    <firstFooter/>
  </headerFooter>
  <rowBreaks count="1" manualBreakCount="1">
    <brk id="53" min="0" max="16383" man="1"/>
  </rowBreaks>
  <colBreaks count="1" manualBreakCount="1">
    <brk id="23" min="0" max="1048575" man="1"/>
  </colBreaks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7265625" defaultRowHeight="14.5"/>
  <cols>
    <col width="30" customWidth="1" style="520" min="1" max="4"/>
  </cols>
  <sheetData>
    <row r="1">
      <c r="A1" s="477" t="inlineStr">
        <is>
          <t>Statut</t>
        </is>
      </c>
      <c r="B1" s="477" t="inlineStr">
        <is>
          <t>Categorie affaire</t>
        </is>
      </c>
      <c r="C1" s="477" t="inlineStr">
        <is>
          <t>Categorie ouvrage</t>
        </is>
      </c>
      <c r="D1" s="477" t="inlineStr">
        <is>
          <t>Type adjudication</t>
        </is>
      </c>
    </row>
    <row r="2">
      <c r="A2" t="inlineStr">
        <is>
          <t>Actif</t>
        </is>
      </c>
      <c r="B2" t="inlineStr">
        <is>
          <t>Plan de charge</t>
        </is>
      </c>
      <c r="C2" t="inlineStr">
        <is>
          <t>Jardin prive</t>
        </is>
      </c>
      <c r="D2" t="inlineStr">
        <is>
          <t>Soumission</t>
        </is>
      </c>
    </row>
    <row r="3">
      <c r="A3" t="inlineStr">
        <is>
          <t>Supprime</t>
        </is>
      </c>
      <c r="B3" t="inlineStr">
        <is>
          <t>Pre-adjudication</t>
        </is>
      </c>
      <c r="C3" t="inlineStr">
        <is>
          <t>Logement collectif</t>
        </is>
      </c>
      <c r="D3" t="inlineStr">
        <is>
          <t>devis de gre a gres</t>
        </is>
      </c>
    </row>
    <row r="4">
      <c r="B4" t="inlineStr">
        <is>
          <t>Projet a l'etude</t>
        </is>
      </c>
      <c r="C4" t="inlineStr">
        <is>
          <t>Espace public</t>
        </is>
      </c>
      <c r="D4" t="inlineStr">
        <is>
          <t>devis mis en concurrence</t>
        </is>
      </c>
    </row>
    <row r="5">
      <c r="B5" t="inlineStr">
        <is>
          <t>Soumission</t>
        </is>
      </c>
      <c r="C5" t="inlineStr">
        <is>
          <t>Bureau-Entreprise</t>
        </is>
      </c>
      <c r="D5" t="inlineStr">
        <is>
          <t>devis concours etude</t>
        </is>
      </c>
    </row>
    <row r="6">
      <c r="B6" t="inlineStr">
        <is>
          <t>Bureau d'etude</t>
        </is>
      </c>
      <c r="C6" t="inlineStr">
        <is>
          <t>Organisation Internationale</t>
        </is>
      </c>
      <c r="D6" t="inlineStr">
        <is>
          <t>Plan de charge</t>
        </is>
      </c>
    </row>
    <row r="7">
      <c r="C7" t="inlineStr">
        <is>
          <t>Autre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8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POSTE_10</dc:creator>
  <dcterms:created xsi:type="dcterms:W3CDTF">2018-03-15T07:37:53Z</dcterms:created>
  <dcterms:modified xsi:type="dcterms:W3CDTF">2026-02-22T00:16:15Z</dcterms:modified>
  <cp:lastModifiedBy>Sacko Ismaila</cp:lastModifiedBy>
  <cp:lastPrinted>2026-02-22T00:09:49Z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0x010100CC098F52E9A74D448841FE363F81D682</vt:lpwstr>
  </property>
  <property name="MediaServiceImageTags" fmtid="{D5CDD505-2E9C-101B-9397-08002B2CF9AE}" pid="3">
    <vt:lpwstr/>
  </property>
  <property name="ComplianceAssetId" fmtid="{D5CDD505-2E9C-101B-9397-08002B2CF9AE}" pid="4">
    <vt:lpwstr/>
  </property>
  <property name="_ExtendedDescription" fmtid="{D5CDD505-2E9C-101B-9397-08002B2CF9AE}" pid="5">
    <vt:lpwstr/>
  </property>
  <property name="TriggerFlowInfo" fmtid="{D5CDD505-2E9C-101B-9397-08002B2CF9AE}" pid="6">
    <vt:lpwstr/>
  </property>
  <property name="checksum" fmtid="{D5CDD505-2E9C-101B-9397-08002B2CF9AE}" pid="7">
    <vt:filetime>2025-09-24T07:00:29Z</vt:filetime>
  </property>
  <property name="DisableLayout-1" fmtid="{D5CDD505-2E9C-101B-9397-08002B2CF9AE}" pid="8">
    <vt:lpwstr>AAEAAAD/////AQAAAAAAAAAEAQAAAA5TeXN0ZW0uQm9vbGVhbgEAAAAHbV92YWx1ZQABAAs=</vt:lpwstr>
  </property>
</Properties>
</file>